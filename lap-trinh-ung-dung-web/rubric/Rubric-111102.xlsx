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Hướng dẫn" sheetId="1" state="visible" r:id="rId1"/>
    <sheet xmlns:r="http://schemas.openxmlformats.org/officeDocument/2006/relationships" name="Rubric" sheetId="2" state="visible" r:id="rId2"/>
    <sheet xmlns:r="http://schemas.openxmlformats.org/officeDocument/2006/relationships" name="Bảng điểm" sheetId="3" state="visible" r:id="rId3"/>
    <sheet xmlns:r="http://schemas.openxmlformats.org/officeDocument/2006/relationships" name="Mức đạt CLO"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b val="1"/>
      <color rgb="00013D88"/>
      <sz val="14"/>
    </font>
    <font>
      <i val="1"/>
    </font>
    <font>
      <b val="1"/>
      <color rgb="0001295C"/>
    </font>
    <font>
      <b val="1"/>
      <color rgb="00FFFFFF"/>
    </font>
    <font>
      <b val="1"/>
    </font>
    <font>
      <b val="1"/>
      <sz val="9"/>
    </font>
    <font>
      <i val="1"/>
      <sz val="9"/>
    </font>
    <font>
      <b val="1"/>
      <color rgb="00013D88"/>
      <sz val="13"/>
    </font>
  </fonts>
  <fills count="9">
    <fill>
      <patternFill/>
    </fill>
    <fill>
      <patternFill patternType="gray125"/>
    </fill>
    <fill>
      <patternFill patternType="solid">
        <fgColor rgb="00013D88"/>
      </patternFill>
    </fill>
    <fill>
      <patternFill patternType="solid">
        <fgColor rgb="00E7F1FF"/>
      </patternFill>
    </fill>
    <fill>
      <patternFill patternType="solid">
        <fgColor rgb="00EAFAF1"/>
      </patternFill>
    </fill>
    <fill>
      <patternFill patternType="solid">
        <fgColor rgb="00FFF5EB"/>
      </patternFill>
    </fill>
    <fill>
      <patternFill patternType="solid">
        <fgColor rgb="00F3E5F5"/>
      </patternFill>
    </fill>
    <fill>
      <patternFill patternType="solid">
        <fgColor rgb="00D6E4F5"/>
      </patternFill>
    </fill>
    <fill>
      <patternFill patternType="solid">
        <fgColor rgb="00FCE8C8"/>
      </patternFill>
    </fill>
  </fills>
  <borders count="2">
    <border>
      <left/>
      <right/>
      <top/>
      <bottom/>
      <diagonal/>
    </border>
    <border>
      <left style="thin">
        <color rgb="00B8C4D6"/>
      </left>
      <right style="thin">
        <color rgb="00B8C4D6"/>
      </right>
      <top style="thin">
        <color rgb="00B8C4D6"/>
      </top>
      <bottom style="thin">
        <color rgb="00B8C4D6"/>
      </bottom>
    </border>
  </borders>
  <cellStyleXfs count="1">
    <xf numFmtId="0" fontId="0" fillId="0" borderId="0"/>
  </cellStyleXfs>
  <cellXfs count="39">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0" fillId="0" borderId="0" applyAlignment="1" pivotButton="0" quotePrefix="0" xfId="0">
      <alignment wrapText="1"/>
    </xf>
    <xf numFmtId="0" fontId="3" fillId="0" borderId="0" applyAlignment="1" pivotButton="0" quotePrefix="0" xfId="0">
      <alignment wrapText="1"/>
    </xf>
    <xf numFmtId="0" fontId="4" fillId="2" borderId="1" applyAlignment="1" pivotButton="0" quotePrefix="0" xfId="0">
      <alignment horizontal="center" vertical="center" wrapText="1"/>
    </xf>
    <xf numFmtId="0" fontId="3" fillId="3" borderId="0" applyAlignment="1" pivotButton="0" quotePrefix="0" xfId="0">
      <alignment vertical="center" wrapText="1"/>
    </xf>
    <xf numFmtId="0" fontId="0" fillId="0" borderId="1" applyAlignment="1" pivotButton="0" quotePrefix="0" xfId="0">
      <alignment horizontal="center" vertical="center" wrapText="1"/>
    </xf>
    <xf numFmtId="0" fontId="5" fillId="0" borderId="1" applyAlignment="1" pivotButton="0" quotePrefix="0" xfId="0">
      <alignment vertical="top" wrapText="1"/>
    </xf>
    <xf numFmtId="0" fontId="0" fillId="0" borderId="1" applyAlignment="1" pivotButton="0" quotePrefix="0" xfId="0">
      <alignment vertical="top" wrapText="1"/>
    </xf>
    <xf numFmtId="0" fontId="3" fillId="4" borderId="0" applyAlignment="1" pivotButton="0" quotePrefix="0" xfId="0">
      <alignment vertical="center" wrapText="1"/>
    </xf>
    <xf numFmtId="0" fontId="3" fillId="5" borderId="0" applyAlignment="1" pivotButton="0" quotePrefix="0" xfId="0">
      <alignment vertical="center" wrapText="1"/>
    </xf>
    <xf numFmtId="0" fontId="3" fillId="6" borderId="0" applyAlignment="1" pivotButton="0" quotePrefix="0" xfId="0">
      <alignment vertical="center" wrapText="1"/>
    </xf>
    <xf numFmtId="0" fontId="3" fillId="3" borderId="1" applyAlignment="1" pivotButton="0" quotePrefix="0" xfId="0">
      <alignment horizontal="center" vertical="center" wrapText="1"/>
    </xf>
    <xf numFmtId="0" fontId="0" fillId="3" borderId="1" pivotButton="0" quotePrefix="0" xfId="0"/>
    <xf numFmtId="0" fontId="3" fillId="4" borderId="1" applyAlignment="1" pivotButton="0" quotePrefix="0" xfId="0">
      <alignment horizontal="center" vertical="center" wrapText="1"/>
    </xf>
    <xf numFmtId="0" fontId="0" fillId="4" borderId="1" pivotButton="0" quotePrefix="0" xfId="0"/>
    <xf numFmtId="0" fontId="3" fillId="5" borderId="1" applyAlignment="1" pivotButton="0" quotePrefix="0" xfId="0">
      <alignment horizontal="center" vertical="center" wrapText="1"/>
    </xf>
    <xf numFmtId="0" fontId="0" fillId="5" borderId="1" pivotButton="0" quotePrefix="0" xfId="0"/>
    <xf numFmtId="0" fontId="3" fillId="6" borderId="1" applyAlignment="1" pivotButton="0" quotePrefix="0" xfId="0">
      <alignment horizontal="center" vertical="center" wrapText="1"/>
    </xf>
    <xf numFmtId="0" fontId="0" fillId="6" borderId="1" pivotButton="0" quotePrefix="0" xfId="0"/>
    <xf numFmtId="0" fontId="3" fillId="7" borderId="1" applyAlignment="1" pivotButton="0" quotePrefix="0" xfId="0">
      <alignment horizontal="center" vertical="center" wrapText="1"/>
    </xf>
    <xf numFmtId="0" fontId="0" fillId="7" borderId="1" pivotButton="0" quotePrefix="0" xfId="0"/>
    <xf numFmtId="0" fontId="3" fillId="8" borderId="1" applyAlignment="1" pivotButton="0" quotePrefix="0" xfId="0">
      <alignment horizontal="center" vertical="center" wrapText="1"/>
    </xf>
    <xf numFmtId="0" fontId="0" fillId="8" borderId="1" pivotButton="0" quotePrefix="0" xfId="0"/>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7" fillId="0" borderId="1" applyAlignment="1" pivotButton="0" quotePrefix="0" xfId="0">
      <alignment horizontal="center" vertical="center" wrapText="1"/>
    </xf>
    <xf numFmtId="0" fontId="0" fillId="0" borderId="1" pivotButton="0" quotePrefix="0" xfId="0"/>
    <xf numFmtId="0" fontId="5" fillId="0" borderId="1" applyAlignment="1" pivotButton="0" quotePrefix="0" xfId="0">
      <alignment horizontal="center" vertical="center" wrapText="1"/>
    </xf>
    <xf numFmtId="0" fontId="8" fillId="0" borderId="0" pivotButton="0" quotePrefix="0" xfId="0"/>
    <xf numFmtId="0" fontId="2" fillId="0" borderId="0" pivotButton="0" quotePrefix="0" xfId="0"/>
    <xf numFmtId="164" fontId="0" fillId="0" borderId="1" applyAlignment="1" pivotButton="0" quotePrefix="0" xfId="0">
      <alignment horizontal="center" vertical="center" wrapText="1"/>
    </xf>
    <xf numFmtId="0" fontId="3" fillId="0" borderId="0" pivotButton="0" quotePrefix="0" xfId="0"/>
    <xf numFmtId="9" fontId="0" fillId="0" borderId="1" applyAlignment="1" pivotButton="0" quotePrefix="0" xfId="0">
      <alignment horizontal="center" vertical="center" wrapText="1"/>
    </xf>
  </cellXfs>
  <cellStyles count="1">
    <cellStyle name="Normal" xfId="0" builtinId="0" hidden="0"/>
  </cellStyles>
  <dxfs count="4">
    <dxf>
      <font>
        <b val="1"/>
        <color rgb="00B42318"/>
      </font>
      <fill>
        <patternFill patternType="solid">
          <fgColor rgb="00FDE2E1"/>
        </patternFill>
      </fill>
    </dxf>
    <dxf>
      <font>
        <color rgb="00067647"/>
      </font>
      <fill>
        <patternFill patternType="solid">
          <fgColor rgb="00E3F6E8"/>
        </patternFill>
      </fill>
    </dxf>
    <dxf>
      <font>
        <b val="1"/>
        <color rgb="00067647"/>
      </font>
      <fill>
        <patternFill patternType="solid">
          <fgColor rgb="00E3F6E8"/>
        </patternFill>
      </fill>
    </dxf>
    <dxf>
      <fill>
        <patternFill patternType="solid">
          <fgColor rgb="00FDE2E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1" t="inlineStr">
        <is>
          <t>RUBRIC CHẤM ĐIỂM CUỐI KỲ - LẬP TRÌNH ỨNG DỤNG WEB (111102)</t>
        </is>
      </c>
    </row>
    <row r="2">
      <c r="A2" s="2" t="inlineStr">
        <is>
          <t>Đánh giá cuối kỳ: báo cáo đồ án nhóm (Report) và Demo Day chung với học phần di động (buổi 12)</t>
        </is>
      </c>
    </row>
    <row r="3">
      <c r="A3" s="3" t="inlineStr"/>
    </row>
    <row r="4">
      <c r="A4" s="4" t="inlineStr">
        <is>
          <t>Cấu trúc</t>
        </is>
      </c>
    </row>
    <row r="5">
      <c r="A5" s="3" t="inlineStr">
        <is>
          <t>- 4 CLO, 27 tiêu chí; mỗi tiêu chí chỉ chấm một vấn đề. Tổng điểm: 10.</t>
        </is>
      </c>
    </row>
    <row r="6">
      <c r="A6" s="3" t="inlineStr">
        <is>
          <t>- CLO1 (PLO2 / PI 2.4): 4 điểm, 9 tiêu chí; CLO2 (PLO4 / PI 4.1): 2 điểm, 6 tiêu chí; CLO3 (PLO3 / PI 3.1): 2 điểm, 6 tiêu chí; CLO4 (PLO5 / PI 5.1): 2 điểm, 6 tiêu chí.</t>
        </is>
      </c>
    </row>
    <row r="7">
      <c r="A7" s="3" t="inlineStr">
        <is>
          <t>- Mức chấm: A Xuất sắc = 100% điểm tối đa; B Tốt = 75% điểm tối đa; C Đạt = 50% điểm tối đa; D Chưa đạt = 25% điểm tối đa; 0 Không có minh chứng = 0% điểm tối đa.</t>
        </is>
      </c>
    </row>
    <row r="8">
      <c r="A8" s="3" t="inlineStr">
        <is>
          <t>- Có thể cho điểm lẻ giữa hai mức (bước 0,05) khi minh chứng nằm giữa hai mô tả.</t>
        </is>
      </c>
    </row>
    <row r="9">
      <c r="A9" s="3" t="inlineStr">
        <is>
          <t>- Phạm vi 'Nhóm': chấm trên sản phẩm chung, mặc định cùng điểm cho cả nhóm; hạ riêng cho sinh viên không giải thích được phần mã liên quan.</t>
        </is>
      </c>
    </row>
    <row r="10">
      <c r="A10" s="3" t="inlineStr">
        <is>
          <t>- Phạm vi 'Cá nhân': chấm riêng từng sinh viên dựa trên minh chứng của chính sinh viên đó.</t>
        </is>
      </c>
    </row>
    <row r="11">
      <c r="A11" s="3" t="inlineStr"/>
    </row>
    <row r="12">
      <c r="A12" s="4" t="inlineStr">
        <is>
          <t>Ngưỡng đạt</t>
        </is>
      </c>
    </row>
    <row r="13">
      <c r="A13" s="3" t="inlineStr">
        <is>
          <t>- Sinh viên đạt một CLO khi được ít nhất 50% điểm tối đa của CLO đó. CLO đạt ở cấp lớp khi ít nhất 75% số sinh viên đạt. Minh chứng chính là báo cáo đồ án; Demo Day dùng để kiểm chứng sản phẩm và phần phụ trách của từng thành viên.</t>
        </is>
      </c>
    </row>
    <row r="14">
      <c r="A14" s="3" t="inlineStr"/>
    </row>
    <row r="15">
      <c r="A15" s="4" t="inlineStr">
        <is>
          <t>Cách dùng file</t>
        </is>
      </c>
    </row>
    <row r="16">
      <c r="A16" s="3" t="inlineStr">
        <is>
          <t>1. Sheet 'Rubric': mô tả mức, gợi ý chấm, minh chứng cần có của từng tiêu chí.</t>
        </is>
      </c>
    </row>
    <row r="17">
      <c r="A17" s="3" t="inlineStr">
        <is>
          <t>2. Sheet 'Bảng điểm': nhập MSSV, họ tên, nhóm và điểm từng tiêu chí (0 đến điểm tối đa, có kiểm tra dữ liệu). Điểm CLO, tổng, Đạt/Chưa đạt tự tính. Sẵn 60 dòng.</t>
        </is>
      </c>
    </row>
    <row r="18">
      <c r="A18" s="3" t="inlineStr">
        <is>
          <t>3. Sheet 'Mức đạt CLO': tỷ lệ sinh viên đạt từng CLO và kết luận đạt ở cấp lớp; điểm trung bình theo tiêu chí.</t>
        </is>
      </c>
    </row>
    <row r="19">
      <c r="A19" s="3" t="inlineStr">
        <is>
          <t>4. Có thể chấm trên trang web cham-diem.html của học phần rồi xuất Excel; file xuất có cùng cấu trúc cột.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10" customWidth="1" min="3" max="3"/>
    <col width="9" customWidth="1" min="4" max="4"/>
    <col width="34" customWidth="1" min="5" max="5"/>
    <col width="34" customWidth="1" min="6" max="6"/>
    <col width="34" customWidth="1" min="7" max="7"/>
    <col width="34" customWidth="1" min="8" max="8"/>
    <col width="40" customWidth="1" min="9" max="9"/>
    <col width="34" customWidth="1" min="10" max="10"/>
  </cols>
  <sheetData>
    <row r="1">
      <c r="A1" s="5" t="inlineStr">
        <is>
          <t>Mã</t>
        </is>
      </c>
      <c r="B1" s="5" t="inlineStr">
        <is>
          <t>Tiêu chí</t>
        </is>
      </c>
      <c r="C1" s="5" t="inlineStr">
        <is>
          <t>Phạm vi</t>
        </is>
      </c>
      <c r="D1" s="5" t="inlineStr">
        <is>
          <t>Điểm tối đa</t>
        </is>
      </c>
      <c r="E1" s="5" t="inlineStr">
        <is>
          <t>A - Xuất sắc (100%)</t>
        </is>
      </c>
      <c r="F1" s="5" t="inlineStr">
        <is>
          <t>B - Tốt (75%)</t>
        </is>
      </c>
      <c r="G1" s="5" t="inlineStr">
        <is>
          <t>C - Đạt (50%)</t>
        </is>
      </c>
      <c r="H1" s="5" t="inlineStr">
        <is>
          <t>D - Chưa đạt (25%)</t>
        </is>
      </c>
      <c r="I1" s="5" t="inlineStr">
        <is>
          <t>Gợi ý chấm</t>
        </is>
      </c>
      <c r="J1" s="5" t="inlineStr">
        <is>
          <t>Minh chứng cần có</t>
        </is>
      </c>
    </row>
    <row r="2" ht="30" customHeight="1">
      <c r="A2" s="6" t="inlineStr">
        <is>
          <t>CLO1 (PLO2 / PI 2.4) - Phân tích các thành phần chức năng của ứng dụng web phù hợp với mô hình đã phân tích - 4 điểm (đạt khi ≥ 2)</t>
        </is>
      </c>
    </row>
    <row r="3">
      <c r="A3" s="7" t="inlineStr">
        <is>
          <t>1.1</t>
        </is>
      </c>
      <c r="B3" s="8" t="inlineStr">
        <is>
          <t>Phân tích yêu cầu và phạm vi web</t>
        </is>
      </c>
      <c r="C3" s="7" t="inlineStr">
        <is>
          <t>Nhóm</t>
        </is>
      </c>
      <c r="D3" s="7" t="n">
        <v>0.5</v>
      </c>
      <c r="E3" s="9" t="inlineStr">
        <is>
          <t>Xác định đúng actor và toàn bộ user story web của đề tài (quản trị, quầy, khách), truy vết tới SRS, nêu rõ phạm vi làm/không làm và lý do.</t>
        </is>
      </c>
      <c r="F3" s="9" t="inlineStr">
        <is>
          <t>Đủ actor và user story chính, có truy vết SRS; phạm vi chưa nêu lý do.</t>
        </is>
      </c>
      <c r="G3" s="9" t="inlineStr">
        <is>
          <t>Liệt kê chức năng nhưng thiếu actor hoặc không truy vết tới SRS.</t>
        </is>
      </c>
      <c r="H3" s="9" t="inlineStr">
        <is>
          <t>Mô tả chung chung, không xác định được phạm vi web.</t>
        </is>
      </c>
      <c r="I3" s="9" t="inlineStr">
        <is>
          <t>Chỉ chấm phần phân tích yêu cầu (chương Phân tích của báo cáo); sơ đồ chức năng chấm ở 1.2.</t>
        </is>
      </c>
      <c r="J3" s="9" t="inlineStr">
        <is>
          <t>Chương Phân tích yêu cầu trong báo cáo; bảng user story đã chọn từ backlog.</t>
        </is>
      </c>
    </row>
    <row r="4">
      <c r="A4" s="7" t="inlineStr">
        <is>
          <t>1.2</t>
        </is>
      </c>
      <c r="B4" s="8" t="inlineStr">
        <is>
          <t>Sơ đồ chức năng và sitemap</t>
        </is>
      </c>
      <c r="C4" s="7" t="inlineStr">
        <is>
          <t>Nhóm</t>
        </is>
      </c>
      <c r="D4" s="7" t="n">
        <v>0.5</v>
      </c>
      <c r="E4" s="9" t="inlineStr">
        <is>
          <t>Sơ đồ phân rã chức năng web và sitemap đầy đủ theo vai trò, khớp với sản phẩm đã triển khai.</t>
        </is>
      </c>
      <c r="F4" s="9" t="inlineStr">
        <is>
          <t>Đủ chức năng chính và trang chính, khớp sản phẩm; thiếu vài chức năng phụ.</t>
        </is>
      </c>
      <c r="G4" s="9" t="inlineStr">
        <is>
          <t>Có sơ đồ nhưng thiếu một nhóm chức năng hoặc lệch so với sản phẩm.</t>
        </is>
      </c>
      <c r="H4" s="9" t="inlineStr">
        <is>
          <t>Sơ đồ sơ sài, không phản ánh ứng dụng.</t>
        </is>
      </c>
      <c r="I4" s="9" t="inlineStr">
        <is>
          <t>Đặt sitemap cạnh web đang chạy, đánh dấu trang có/không có.</t>
        </is>
      </c>
      <c r="J4" s="9" t="inlineStr">
        <is>
          <t>Sơ đồ chức năng, sitemap (file nguồn + ảnh) trong báo cáo.</t>
        </is>
      </c>
    </row>
    <row r="5">
      <c r="A5" s="7" t="inlineStr">
        <is>
          <t>1.3</t>
        </is>
      </c>
      <c r="B5" s="8" t="inlineStr">
        <is>
          <t>Ánh xạ route – chức năng – vai trò – API</t>
        </is>
      </c>
      <c r="C5" s="7" t="inlineStr">
        <is>
          <t>Nhóm</t>
        </is>
      </c>
      <c r="D5" s="7" t="n">
        <v>0.5</v>
      </c>
      <c r="E5" s="9" t="inlineStr">
        <is>
          <t>Bảng ánh xạ đầy đủ mọi route của App Router tới chức năng, vai trò được truy cập và endpoint API/stored procedure tương ứng; khớp mã nguồn.</t>
        </is>
      </c>
      <c r="F5" s="9" t="inlineStr">
        <is>
          <t>Bảng đủ route chính, khớp mã; thiếu cột vai trò hoặc API ở vài dòng.</t>
        </is>
      </c>
      <c r="G5" s="9" t="inlineStr">
        <is>
          <t>Bảng thiếu nhiều route hoặc không khớp cấu trúc thư mục app/.</t>
        </is>
      </c>
      <c r="H5" s="9" t="inlineStr">
        <is>
          <t>Không có bảng ánh xạ, chỉ liệt kê trang.</t>
        </is>
      </c>
      <c r="I5" s="9" t="inlineStr">
        <is>
          <t>So bảng với cây thư mục app/ của repo.</t>
        </is>
      </c>
      <c r="J5" s="9" t="inlineStr">
        <is>
          <t>Bảng ánh xạ trong báo cáo; cây thư mục app/.</t>
        </is>
      </c>
    </row>
    <row r="6">
      <c r="A6" s="7" t="inlineStr">
        <is>
          <t>1.4</t>
        </is>
      </c>
      <c r="B6" s="8" t="inlineStr">
        <is>
          <t>Thiết kế component và ranh giới Server/Client</t>
        </is>
      </c>
      <c r="C6" s="7" t="inlineStr">
        <is>
          <t>Nhóm</t>
        </is>
      </c>
      <c r="D6" s="7" t="n">
        <v>0.5</v>
      </c>
      <c r="E6" s="9" t="inlineStr">
        <is>
          <t>Cây component cho các trang chính, nêu rõ component nào là Server/Client và lý do (dữ liệu, tương tác, bảo mật); component dùng chung được tách hợp lý.</t>
        </is>
      </c>
      <c r="F6" s="9" t="inlineStr">
        <is>
          <t>Có cây component và phân loại Server/Client; lý do chưa đầy đủ.</t>
        </is>
      </c>
      <c r="G6" s="9" t="inlineStr">
        <is>
          <t>Có danh sách component nhưng không phân tích ranh giới Server/Client.</t>
        </is>
      </c>
      <c r="H6" s="9" t="inlineStr">
        <is>
          <t>Không có phân tích component; "use client" đặt tràn lan không giải thích.</t>
        </is>
      </c>
      <c r="I6" s="9" t="inlineStr">
        <is>
          <t>Kiểm tra ngẫu nhiên 2 file có "use client" trong repo, đối chiếu với lý do trong báo cáo.</t>
        </is>
      </c>
      <c r="J6" s="9" t="inlineStr">
        <is>
          <t>Mục Thiết kế component trong báo cáo; repo web.</t>
        </is>
      </c>
    </row>
    <row r="7">
      <c r="A7" s="7" t="inlineStr">
        <is>
          <t>1.5</t>
        </is>
      </c>
      <c r="B7" s="8" t="inlineStr">
        <is>
          <t>Phân tích module quản trị</t>
        </is>
      </c>
      <c r="C7" s="7" t="inlineStr">
        <is>
          <t>Nhóm</t>
        </is>
      </c>
      <c r="D7" s="7" t="n">
        <v>0.5</v>
      </c>
      <c r="E7" s="9" t="inlineStr">
        <is>
          <t>Nghiệp vụ quản trị được phân tích thành bảng, stored procedure và API có phân quyền admin; nêu ràng buộc nghiệp vụ (không xóa danh mục còn món, món đã bán chỉ ngừng bán…).</t>
        </is>
      </c>
      <c r="F7" s="9" t="inlineStr">
        <is>
          <t>Phân tích đủ thủ tục và API cho CRUD chính; thiếu ràng buộc nghiệp vụ.</t>
        </is>
      </c>
      <c r="G7" s="9" t="inlineStr">
        <is>
          <t>Chỉ liệt kê màn hình quản trị, chưa phân tích tới dữ liệu và API.</t>
        </is>
      </c>
      <c r="H7" s="9" t="inlineStr">
        <is>
          <t>Không có phân tích module quản trị.</t>
        </is>
      </c>
      <c r="I7" s="9" t="inlineStr">
        <is>
          <t>Chấm phần phân tích; mức hoàn thành sản phẩm chấm ở 1.8.</t>
        </is>
      </c>
      <c r="J7" s="9" t="inlineStr">
        <is>
          <t>Chương phân tích module quản trị; ERD phần quản trị; danh mục stored procedure.</t>
        </is>
      </c>
    </row>
    <row r="8">
      <c r="A8" s="7" t="inlineStr">
        <is>
          <t>1.6</t>
        </is>
      </c>
      <c r="B8" s="8" t="inlineStr">
        <is>
          <t>Phân tích phân quyền và bảo mật</t>
        </is>
      </c>
      <c r="C8" s="7" t="inlineStr">
        <is>
          <t>Nhóm</t>
        </is>
      </c>
      <c r="D8" s="7" t="n">
        <v>0.4</v>
      </c>
      <c r="E8" s="9" t="inlineStr">
        <is>
          <t>Ma trận vai trò × chức năng đầy đủ; mô tả cơ chế cookie httpOnly, middleware và kiểm tra quyền ở server; nhận diện rủi ro (XSS, CSRF, lộ biến môi trường) và cách phòng.</t>
        </is>
      </c>
      <c r="F8" s="9" t="inlineStr">
        <is>
          <t>Có ma trận phân quyền và cơ chế xác thực; phần rủi ro còn sơ sài.</t>
        </is>
      </c>
      <c r="G8" s="9" t="inlineStr">
        <is>
          <t>Chỉ mô tả đăng nhập, không có ma trận phân quyền.</t>
        </is>
      </c>
      <c r="H8" s="9" t="inlineStr">
        <is>
          <t>Không phân tích phân quyền.</t>
        </is>
      </c>
      <c r="I8" s="9" t="inlineStr">
        <is>
          <t>Đối chiếu ma trận với hành vi thật khi đăng nhập bằng tài khoản customer.</t>
        </is>
      </c>
      <c r="J8" s="9" t="inlineStr">
        <is>
          <t>Ma trận phân quyền; mục Bảo mật trong báo cáo.</t>
        </is>
      </c>
    </row>
    <row r="9">
      <c r="A9" s="7" t="inlineStr">
        <is>
          <t>1.7</t>
        </is>
      </c>
      <c r="B9" s="8" t="inlineStr">
        <is>
          <t>Phân tích luồng thời gian thực</t>
        </is>
      </c>
      <c r="C9" s="7" t="inlineStr">
        <is>
          <t>Nhóm</t>
        </is>
      </c>
      <c r="D9" s="7" t="n">
        <v>0.4</v>
      </c>
      <c r="E9" s="9" t="inlineStr">
        <is>
          <t>Sơ đồ tuần tự màn hình quầy đủ các bên (web nhân viên, ứng dụng khách, API, thủ tục, Socket.IO, room), đúng thứ tự lưu trước gửi sau; nêu cách xử lý mất kết nối.</t>
        </is>
      </c>
      <c r="F9" s="9" t="inlineStr">
        <is>
          <t>Đủ các bên chính; thiếu xử lý kết nối lại hoặc một bước.</t>
        </is>
      </c>
      <c r="G9" s="9" t="inlineStr">
        <is>
          <t>Chỉ thể hiện client ↔ server.</t>
        </is>
      </c>
      <c r="H9" s="9" t="inlineStr">
        <is>
          <t>Không có phân tích luồng realtime.</t>
        </is>
      </c>
      <c r="I9" s="9" t="inlineStr">
        <is>
          <t>So với cài đặt thật của màn hình quầy.</t>
        </is>
      </c>
      <c r="J9" s="9" t="inlineStr">
        <is>
          <t>Sơ đồ tuần tự trong báo cáo; slide.</t>
        </is>
      </c>
    </row>
    <row r="10">
      <c r="A10" s="7" t="inlineStr">
        <is>
          <t>1.8</t>
        </is>
      </c>
      <c r="B10" s="8" t="inlineStr">
        <is>
          <t>Sản phẩm triển khai khớp phân tích</t>
        </is>
      </c>
      <c r="C10" s="7" t="inlineStr">
        <is>
          <t>Nhóm</t>
        </is>
      </c>
      <c r="D10" s="7" t="n">
        <v>0.4</v>
      </c>
      <c r="E10" s="9" t="inlineStr">
        <is>
          <t>Web chạy trên server Khoa, mọi chức năng bắt buộc đã phân tích (quản trị, màn hình quầy realtime, web khách cơ bản) hoạt động trong demo.</t>
        </is>
      </c>
      <c r="F10" s="9" t="inlineStr">
        <is>
          <t>Chức năng bắt buộc hoạt động; 1–2 chức năng phụ đã phân tích chưa có.</t>
        </is>
      </c>
      <c r="G10" s="9" t="inlineStr">
        <is>
          <t>Thiếu một nhóm chức năng bắt buộc hoặc chỉ chạy trên máy cá nhân.</t>
        </is>
      </c>
      <c r="H10" s="9" t="inlineStr">
        <is>
          <t>Sản phẩm không chạy hoặc lệch xa so với phân tích.</t>
        </is>
      </c>
      <c r="I10" s="9" t="inlineStr">
        <is>
          <t>Chấm tại Demo Day theo kịch bản của nhóm; đối chiếu với sơ đồ chức năng.</t>
        </is>
      </c>
      <c r="J10" s="9" t="inlineStr">
        <is>
          <t>Demo trên server Khoa; link web đã triển khai.</t>
        </is>
      </c>
    </row>
    <row r="11">
      <c r="A11" s="7" t="inlineStr">
        <is>
          <t>1.9</t>
        </is>
      </c>
      <c r="B11" s="8" t="inlineStr">
        <is>
          <t>Giải thích phân tích và mã phần phụ trách</t>
        </is>
      </c>
      <c r="C11" s="7" t="inlineStr">
        <is>
          <t>Cá nhân</t>
        </is>
      </c>
      <c r="D11" s="7" t="n">
        <v>0.3</v>
      </c>
      <c r="E11" s="9" t="inlineStr">
        <is>
          <t>Giải thích đúng phần phân tích và đoạn mã mình commit, nêu được lý do thiết kế và hệ quả khi thay đổi.</t>
        </is>
      </c>
      <c r="F11" s="9" t="inlineStr">
        <is>
          <t>Giải thích đúng; lúng túng ở câu hỏi thay đổi giả định.</t>
        </is>
      </c>
      <c r="G11" s="9" t="inlineStr">
        <is>
          <t>Giải thích được một phần, cần gợi ý nhiều.</t>
        </is>
      </c>
      <c r="H11" s="9" t="inlineStr">
        <is>
          <t>Không giải thích được phần mình phụ trách.</t>
        </is>
      </c>
      <c r="I11" s="9" t="inlineStr">
        <is>
          <t>Chọn ngẫu nhiên đoạn mã của chính sinh viên (git blame). Phần mã không giải thích được có thể hạ điểm tiêu chí nhóm liên quan cho riêng sinh viên đó.</t>
        </is>
      </c>
      <c r="J11" s="9" t="inlineStr">
        <is>
          <t>Hỏi đáp tại Demo Day; lịch sử commit.</t>
        </is>
      </c>
    </row>
    <row r="12" ht="30" customHeight="1">
      <c r="A12" s="10" t="inlineStr">
        <is>
          <t>CLO2 (PLO4 / PI 4.1) - Thực hiện các bài kiểm thử để kiểm tra các yêu cầu chức năng phù hợp với các mục tiêu dự án - 2 điểm (đạt khi ≥ 1)</t>
        </is>
      </c>
    </row>
    <row r="13">
      <c r="A13" s="7" t="inlineStr">
        <is>
          <t>2.1</t>
        </is>
      </c>
      <c r="B13" s="8" t="inlineStr">
        <is>
          <t>Kế hoạch kiểm thử</t>
        </is>
      </c>
      <c r="C13" s="7" t="inlineStr">
        <is>
          <t>Nhóm</t>
        </is>
      </c>
      <c r="D13" s="7" t="n">
        <v>0.3</v>
      </c>
      <c r="E13" s="9" t="inlineStr">
        <is>
          <t>Kế hoạch nêu phạm vi, loại kiểm thử (thủ công, đơn vị, đầu-cuối, phi chức năng), môi trường, dữ liệu thử, tiêu chí bắt đầu/dừng, phân công.</t>
        </is>
      </c>
      <c r="F13" s="9" t="inlineStr">
        <is>
          <t>Đủ phạm vi, loại kiểm thử và môi trường; thiếu tiêu chí dừng hoặc phân công.</t>
        </is>
      </c>
      <c r="G13" s="9" t="inlineStr">
        <is>
          <t>Chỉ liệt kê việc sẽ kiểm thử.</t>
        </is>
      </c>
      <c r="H13" s="9" t="inlineStr">
        <is>
          <t>Không có kế hoạch kiểm thử.</t>
        </is>
      </c>
      <c r="I13" s="9" t="inlineStr">
        <is>
          <t>Chấm tài liệu kế hoạch, không chấm số lượng test.</t>
        </is>
      </c>
      <c r="J13" s="9" t="inlineStr">
        <is>
          <t>Mục Kế hoạch kiểm thử trong báo cáo kiểm thử.</t>
        </is>
      </c>
    </row>
    <row r="14">
      <c r="A14" s="7" t="inlineStr">
        <is>
          <t>2.2</t>
        </is>
      </c>
      <c r="B14" s="8" t="inlineStr">
        <is>
          <t>Test case truy vết tới yêu cầu</t>
        </is>
      </c>
      <c r="C14" s="7" t="inlineStr">
        <is>
          <t>Nhóm</t>
        </is>
      </c>
      <c r="D14" s="7" t="n">
        <v>0.5</v>
      </c>
      <c r="E14" s="9" t="inlineStr">
        <is>
          <t>Test case viết từ tiêu chí nghiệm thu, có ma trận truy vết yêu cầu ↔ test case, gồm trường hợp hợp lệ, không hợp lệ và giá trị biên; mọi story Must có test case.</t>
        </is>
      </c>
      <c r="F14" s="9" t="inlineStr">
        <is>
          <t>Test case truy vết được yêu cầu, phủ story Must; thiếu trường hợp biên.</t>
        </is>
      </c>
      <c r="G14" s="9" t="inlineStr">
        <is>
          <t>Có test case nhưng không truy vết tới yêu cầu hoặc chỉ có trường hợp hợp lệ.</t>
        </is>
      </c>
      <c r="H14" s="9" t="inlineStr">
        <is>
          <t>Test case sơ sài, không kiểm tra được yêu cầu.</t>
        </is>
      </c>
      <c r="I14" s="9" t="inlineStr">
        <is>
          <t>Chọn 3 story Must, kiểm tra mỗi story có test case và kết quả.</t>
        </is>
      </c>
      <c r="J14" s="9" t="inlineStr">
        <is>
          <t>Bảng test case, ma trận truy vết.</t>
        </is>
      </c>
    </row>
    <row r="15">
      <c r="A15" s="7" t="inlineStr">
        <is>
          <t>2.3</t>
        </is>
      </c>
      <c r="B15" s="8" t="inlineStr">
        <is>
          <t>Kiểm thử tự động đơn vị và component</t>
        </is>
      </c>
      <c r="C15" s="7" t="inlineStr">
        <is>
          <t>Nhóm</t>
        </is>
      </c>
      <c r="D15" s="7" t="n">
        <v>0.4</v>
      </c>
      <c r="E15" s="9" t="inlineStr">
        <is>
          <t>Vitest/Testing Library cho logic và component chính chạy xanh; chứng minh test có giá trị bằng mutation thủ công.</t>
        </is>
      </c>
      <c r="F15" s="9" t="inlineStr">
        <is>
          <t>Test tự động chạy xanh cho phần lớn logic chính; chưa kiểm chứng giá trị test.</t>
        </is>
      </c>
      <c r="G15" s="9" t="inlineStr">
        <is>
          <t>Có vài test tự động, phủ ít logic quan trọng.</t>
        </is>
      </c>
      <c r="H15" s="9" t="inlineStr">
        <is>
          <t>Không có test tự động hoặc test không chạy.</t>
        </is>
      </c>
      <c r="I15" s="9" t="inlineStr">
        <is>
          <t>Yêu cầu chạy npm test tại chỗ hoặc xem ảnh kết quả có thời gian.</t>
        </is>
      </c>
      <c r="J15" s="9" t="inlineStr">
        <is>
          <t>Kết quả npm test; bảng mutation thủ công.</t>
        </is>
      </c>
    </row>
    <row r="16">
      <c r="A16" s="7" t="inlineStr">
        <is>
          <t>2.4</t>
        </is>
      </c>
      <c r="B16" s="8" t="inlineStr">
        <is>
          <t>Kiểm thử đầu-cuối luồng chính</t>
        </is>
      </c>
      <c r="C16" s="7" t="inlineStr">
        <is>
          <t>Nhóm</t>
        </is>
      </c>
      <c r="D16" s="7" t="n">
        <v>0.3</v>
      </c>
      <c r="E16" s="9" t="inlineStr">
        <is>
          <t>Kịch bản Playwright cho luồng chính (đăng nhập → đặt món → nhân viên xử lý; quản trị CRUD) chạy được, có báo cáo kết quả.</t>
        </is>
      </c>
      <c r="F16" s="9" t="inlineStr">
        <is>
          <t>Có kịch bản Playwright cho một luồng chính chạy được.</t>
        </is>
      </c>
      <c r="G16" s="9" t="inlineStr">
        <is>
          <t>Chỉ có kịch bản kiểm thử thủ công đầu-cuối được ghi lại.</t>
        </is>
      </c>
      <c r="H16" s="9" t="inlineStr">
        <is>
          <t>Không kiểm thử đầu-cuối.</t>
        </is>
      </c>
      <c r="I16" s="9" t="inlineStr">
        <is>
          <t>Xem báo cáo HTML của Playwright hoặc chạy thử một kịch bản.</t>
        </is>
      </c>
      <c r="J16" s="9" t="inlineStr">
        <is>
          <t>Thư mục kịch bản Playwright; báo cáo chạy.</t>
        </is>
      </c>
    </row>
    <row r="17">
      <c r="A17" s="7" t="inlineStr">
        <is>
          <t>2.5</t>
        </is>
      </c>
      <c r="B17" s="8" t="inlineStr">
        <is>
          <t>Kết quả kiểm thử và quản lý lỗi</t>
        </is>
      </c>
      <c r="C17" s="7" t="inlineStr">
        <is>
          <t>Nhóm</t>
        </is>
      </c>
      <c r="D17" s="7" t="n">
        <v>0.3</v>
      </c>
      <c r="E17" s="9" t="inlineStr">
        <is>
          <t>Bảng kết quả từng test case (đạt/không đạt), bug log có mức độ, nguyên nhân, cách sửa, kiểm thử hồi quy sau sửa; tổng hợp số liệu.</t>
        </is>
      </c>
      <c r="F17" s="9" t="inlineStr">
        <is>
          <t>Có kết quả và bug log; thiếu kiểm thử hồi quy hoặc tổng hợp.</t>
        </is>
      </c>
      <c r="G17" s="9" t="inlineStr">
        <is>
          <t>Chỉ ghi kết quả chung ("đã test, chạy tốt").</t>
        </is>
      </c>
      <c r="H17" s="9" t="inlineStr">
        <is>
          <t>Không có kết quả kiểm thử.</t>
        </is>
      </c>
      <c r="I17" s="9" t="inlineStr">
        <is>
          <t>Đối chiếu 2 lỗi trong bug log với commit sửa.</t>
        </is>
      </c>
      <c r="J17" s="9" t="inlineStr">
        <is>
          <t>Báo cáo kiểm thử; bug log; commit sửa lỗi.</t>
        </is>
      </c>
    </row>
    <row r="18">
      <c r="A18" s="7" t="inlineStr">
        <is>
          <t>2.6</t>
        </is>
      </c>
      <c r="B18" s="8" t="inlineStr">
        <is>
          <t>Kiểm thử phi chức năng</t>
        </is>
      </c>
      <c r="C18" s="7" t="inlineStr">
        <is>
          <t>Nhóm</t>
        </is>
      </c>
      <c r="D18" s="7" t="n">
        <v>0.2</v>
      </c>
      <c r="E18" s="9" t="inlineStr">
        <is>
          <t>Kiểm thử phân quyền/truy cập trái phép, đo Lighthouse (hiệu năng, accessibility) có số liệu trước/sau cải tiến.</t>
        </is>
      </c>
      <c r="F18" s="9" t="inlineStr">
        <is>
          <t>Có kiểm thử phân quyền và số liệu Lighthouse; chưa có cải tiến.</t>
        </is>
      </c>
      <c r="G18" s="9" t="inlineStr">
        <is>
          <t>Chỉ có một loại kiểm thử phi chức năng.</t>
        </is>
      </c>
      <c r="H18" s="9" t="inlineStr">
        <is>
          <t>Không có.</t>
        </is>
      </c>
      <c r="I18" s="9" t="inlineStr">
        <is>
          <t>Chấm số liệu và kết luận, không chấm điểm Lighthouse tuyệt đối.</t>
        </is>
      </c>
      <c r="J18" s="9" t="inlineStr">
        <is>
          <t>Mục kiểm thử phi chức năng trong báo cáo.</t>
        </is>
      </c>
    </row>
    <row r="19" ht="30" customHeight="1">
      <c r="A19" s="11" t="inlineStr">
        <is>
          <t>CLO3 (PLO3 / PI 3.1) - Viết báo cáo trình bày nội dung các công việc đã thực hiện bằng văn bản một cách hợp lý và đúng quy định về định dạng - 2 điểm (đạt khi ≥ 1)</t>
        </is>
      </c>
    </row>
    <row r="20">
      <c r="A20" s="7" t="inlineStr">
        <is>
          <t>3.1</t>
        </is>
      </c>
      <c r="B20" s="8" t="inlineStr">
        <is>
          <t>Cấu trúc báo cáo</t>
        </is>
      </c>
      <c r="C20" s="7" t="inlineStr">
        <is>
          <t>Nhóm</t>
        </is>
      </c>
      <c r="D20" s="7" t="n">
        <v>0.4</v>
      </c>
      <c r="E20" s="9" t="inlineStr">
        <is>
          <t>Đủ thành phần theo mẫu: bìa, lời cảm ơn, mục lục, danh mục hình/bảng, các chương (giới thiệu, phân tích, thiết kế, hiện thực, kiểm thử, triển khai, kế hoạch và tiến độ, kết luận), tài liệu tham khảo, phụ lục.</t>
        </is>
      </c>
      <c r="F20" s="9" t="inlineStr">
        <is>
          <t>Đủ chương chính; thiếu 1–2 thành phần phụ (danh mục hình, phụ lục).</t>
        </is>
      </c>
      <c r="G20" s="9" t="inlineStr">
        <is>
          <t>Thiếu một chương chính hoặc sắp xếp lộn xộn.</t>
        </is>
      </c>
      <c r="H20" s="9" t="inlineStr">
        <is>
          <t>Không theo cấu trúc báo cáo.</t>
        </is>
      </c>
      <c r="I20" s="9" t="inlineStr">
        <is>
          <t>Chỉ chấm cấu trúc; chất lượng nội dung chấm ở 3.2.</t>
        </is>
      </c>
      <c r="J20" s="9" t="inlineStr">
        <is>
          <t>Báo cáo đồ án (file nộp).</t>
        </is>
      </c>
    </row>
    <row r="21">
      <c r="A21" s="7" t="inlineStr">
        <is>
          <t>3.2</t>
        </is>
      </c>
      <c r="B21" s="8" t="inlineStr">
        <is>
          <t>Nội dung hợp lý và có minh chứng</t>
        </is>
      </c>
      <c r="C21" s="7" t="inlineStr">
        <is>
          <t>Nhóm</t>
        </is>
      </c>
      <c r="D21" s="7" t="n">
        <v>0.4</v>
      </c>
      <c r="E21" s="9" t="inlineStr">
        <is>
          <t>Trình bày mạch lạc từ yêu cầu → phân tích → hiện thực → kết quả; mỗi khẳng định có minh chứng (số liệu, ảnh sản phẩm, link repo); kết luận nêu đã đạt, chưa đạt, hướng phát triển.</t>
        </is>
      </c>
      <c r="F21" s="9" t="inlineStr">
        <is>
          <t>Mạch lạc, có minh chứng cho phần lớn nội dung; kết luận còn chung chung.</t>
        </is>
      </c>
      <c r="G21" s="9" t="inlineStr">
        <is>
          <t>Nội dung rời rạc hoặc nhiều khẳng định không có minh chứng.</t>
        </is>
      </c>
      <c r="H21" s="9" t="inlineStr">
        <is>
          <t>Chép lý thuyết, không trình bày công việc đã làm.</t>
        </is>
      </c>
      <c r="I21" s="9" t="inlineStr">
        <is>
          <t>Chọn 3 khẳng định trong báo cáo, kiểm tra minh chứng đi kèm.</t>
        </is>
      </c>
      <c r="J21" s="9" t="inlineStr">
        <is>
          <t>Báo cáo đồ án.</t>
        </is>
      </c>
    </row>
    <row r="22">
      <c r="A22" s="7" t="inlineStr">
        <is>
          <t>3.3</t>
        </is>
      </c>
      <c r="B22" s="8" t="inlineStr">
        <is>
          <t>Định dạng trình bày</t>
        </is>
      </c>
      <c r="C22" s="7" t="inlineStr">
        <is>
          <t>Nhóm</t>
        </is>
      </c>
      <c r="D22" s="7" t="n">
        <v>0.4</v>
      </c>
      <c r="E22" s="9" t="inlineStr">
        <is>
          <t>Đúng toàn bộ quy định: A4, Times New Roman 13, giãn dòng 1,3–1,5, lề trái 3 cm / phải 2 cm / trên dưới 2–2,5 cm, tiêu đề đánh số nhiều cấp nhất quán, đánh số trang, mục lục tự động.</t>
        </is>
      </c>
      <c r="F22" s="9" t="inlineStr">
        <is>
          <t>Đúng phần lớn quy định; 1–2 lỗi nhỏ (lề, giãn dòng ở vài trang).</t>
        </is>
      </c>
      <c r="G22" s="9" t="inlineStr">
        <is>
          <t>Nhiều lỗi định dạng (font/cỡ chữ lẫn lộn, tiêu đề không nhất quán).</t>
        </is>
      </c>
      <c r="H22" s="9" t="inlineStr">
        <is>
          <t>Không theo quy định định dạng.</t>
        </is>
      </c>
      <c r="I22" s="9" t="inlineStr">
        <is>
          <t>Kiểm tra bằng Word: Page Setup, Styles, mục lục cập nhật được.</t>
        </is>
      </c>
      <c r="J22" s="9" t="inlineStr">
        <is>
          <t>File Word báo cáo đồ án.</t>
        </is>
      </c>
    </row>
    <row r="23">
      <c r="A23" s="7" t="inlineStr">
        <is>
          <t>3.4</t>
        </is>
      </c>
      <c r="B23" s="8" t="inlineStr">
        <is>
          <t>Hình, bảng và sơ đồ</t>
        </is>
      </c>
      <c r="C23" s="7" t="inlineStr">
        <is>
          <t>Nhóm</t>
        </is>
      </c>
      <c r="D23" s="7" t="n">
        <v>0.3</v>
      </c>
      <c r="E23" s="9" t="inlineStr">
        <is>
          <t>Mọi hình, bảng được đánh số theo chương, có chú thích, được dẫn chiếu trong văn bản, rõ nét, đúng vị trí.</t>
        </is>
      </c>
      <c r="F23" s="9" t="inlineStr">
        <is>
          <t>Đánh số và chú thích đầy đủ; vài hình chưa được dẫn chiếu hoặc mờ.</t>
        </is>
      </c>
      <c r="G23" s="9" t="inlineStr">
        <is>
          <t>Thiếu đánh số/chú thích ở nhiều hình, bảng.</t>
        </is>
      </c>
      <c r="H23" s="9" t="inlineStr">
        <is>
          <t>Hình chụp màn hình tràn lan không chú thích.</t>
        </is>
      </c>
      <c r="I23" s="9" t="inlineStr">
        <is>
          <t>Lật ngẫu nhiên 5 hình/bảng.</t>
        </is>
      </c>
      <c r="J23" s="9" t="inlineStr">
        <is>
          <t>Báo cáo đồ án.</t>
        </is>
      </c>
    </row>
    <row r="24">
      <c r="A24" s="7" t="inlineStr">
        <is>
          <t>3.5</t>
        </is>
      </c>
      <c r="B24" s="8" t="inlineStr">
        <is>
          <t>Trích dẫn và tài liệu tham khảo</t>
        </is>
      </c>
      <c r="C24" s="7" t="inlineStr">
        <is>
          <t>Nhóm</t>
        </is>
      </c>
      <c r="D24" s="7" t="n">
        <v>0.2</v>
      </c>
      <c r="E24" s="9" t="inlineStr">
        <is>
          <t>Danh mục tài liệu theo chuẩn IEEE, nhất quán; mọi tài liệu được trích dẫn [n] trong văn bản.</t>
        </is>
      </c>
      <c r="F24" s="9" t="inlineStr">
        <is>
          <t>Đúng chuẩn IEEE; vài tài liệu không được trích dẫn trong văn bản.</t>
        </is>
      </c>
      <c r="G24" s="9" t="inlineStr">
        <is>
          <t>Có danh mục nhưng sai chuẩn hoặc không nhất quán.</t>
        </is>
      </c>
      <c r="H24" s="9" t="inlineStr">
        <is>
          <t>Không có tài liệu tham khảo.</t>
        </is>
      </c>
      <c r="I24" s="9" t="inlineStr">
        <is>
          <t>Kiểm tra 3 mục trong danh mục và vị trí trích dẫn tương ứng.</t>
        </is>
      </c>
      <c r="J24" s="9" t="inlineStr">
        <is>
          <t>Mục Tài liệu tham khảo của báo cáo.</t>
        </is>
      </c>
    </row>
    <row r="25">
      <c r="A25" s="7" t="inlineStr">
        <is>
          <t>3.6</t>
        </is>
      </c>
      <c r="B25" s="8" t="inlineStr">
        <is>
          <t>Ngôn ngữ và văn phong</t>
        </is>
      </c>
      <c r="C25" s="7" t="inlineStr">
        <is>
          <t>Nhóm</t>
        </is>
      </c>
      <c r="D25" s="7" t="n">
        <v>0.3</v>
      </c>
      <c r="E25" s="9" t="inlineStr">
        <is>
          <t>Không lỗi chính tả, câu rõ ràng, văn phong khách quan, thuật ngữ thống nhất (có bảng thuật ngữ/viết tắt).</t>
        </is>
      </c>
      <c r="F25" s="9" t="inlineStr">
        <is>
          <t>Rất ít lỗi chính tả; thuật ngữ đôi chỗ chưa thống nhất.</t>
        </is>
      </c>
      <c r="G25" s="9" t="inlineStr">
        <is>
          <t>Nhiều lỗi chính tả hoặc câu tối nghĩa.</t>
        </is>
      </c>
      <c r="H25" s="9" t="inlineStr">
        <is>
          <t>Lỗi ngôn ngữ làm khó hiểu nội dung.</t>
        </is>
      </c>
      <c r="I25" s="9" t="inlineStr">
        <is>
          <t>Đọc kỹ 2 trang bất kỳ.</t>
        </is>
      </c>
      <c r="J25" s="9" t="inlineStr">
        <is>
          <t>Báo cáo đồ án.</t>
        </is>
      </c>
    </row>
    <row r="26" ht="30" customHeight="1">
      <c r="A26" s="12" t="inlineStr">
        <is>
          <t>CLO4 (PLO5 / PI 5.1) - Sử dụng kỹ năng trong việc sắp xếp công việc cá nhân hoặc nhóm phù hợp với mục tiêu công việc đề ra - 2 điểm (đạt khi ≥ 1)</t>
        </is>
      </c>
    </row>
    <row r="27">
      <c r="A27" s="7" t="inlineStr">
        <is>
          <t>4.1</t>
        </is>
      </c>
      <c r="B27" s="8" t="inlineStr">
        <is>
          <t>Backlog và kế hoạch sprint</t>
        </is>
      </c>
      <c r="C27" s="7" t="inlineStr">
        <is>
          <t>Nhóm</t>
        </is>
      </c>
      <c r="D27" s="7" t="n">
        <v>0.4</v>
      </c>
      <c r="E27" s="9" t="inlineStr">
        <is>
          <t>Product Backlog có story ước lượng, ưu tiên (MoSCoW); mỗi sprint có Sprint Goal và Sprint Backlog phù hợp năng lực nhóm.</t>
        </is>
      </c>
      <c r="F27" s="9" t="inlineStr">
        <is>
          <t>Có backlog và kế hoạch sprint; ước lượng hoặc ưu tiên chưa đầy đủ.</t>
        </is>
      </c>
      <c r="G27" s="9" t="inlineStr">
        <is>
          <t>Chỉ có danh sách công việc, không chia sprint.</t>
        </is>
      </c>
      <c r="H27" s="9" t="inlineStr">
        <is>
          <t>Không có kế hoạch.</t>
        </is>
      </c>
      <c r="I27" s="9" t="inlineStr">
        <is>
          <t>Xem board và mục Kế hoạch trong báo cáo.</t>
        </is>
      </c>
      <c r="J27" s="9" t="inlineStr">
        <is>
          <t>GitHub Projects/Jira; kế hoạch các sprint.</t>
        </is>
      </c>
    </row>
    <row r="28">
      <c r="A28" s="7" t="inlineStr">
        <is>
          <t>4.2</t>
        </is>
      </c>
      <c r="B28" s="8" t="inlineStr">
        <is>
          <t>Phân công và theo dõi công việc</t>
        </is>
      </c>
      <c r="C28" s="7" t="inlineStr">
        <is>
          <t>Nhóm</t>
        </is>
      </c>
      <c r="D28" s="7" t="n">
        <v>0.3</v>
      </c>
      <c r="E28" s="9" t="inlineStr">
        <is>
          <t>Mọi công việc trên board có người phụ trách, trạng thái cập nhật đều suốt các sprint, liên kết tới PR.</t>
        </is>
      </c>
      <c r="F28" s="9" t="inlineStr">
        <is>
          <t>Có phân công và cập nhật; đôi chỗ thiếu người phụ trách hoặc cập nhật dồn.</t>
        </is>
      </c>
      <c r="G28" s="9" t="inlineStr">
        <is>
          <t>Board lập cho có, ít cập nhật.</t>
        </is>
      </c>
      <c r="H28" s="9" t="inlineStr">
        <is>
          <t>Không theo dõi công việc.</t>
        </is>
      </c>
      <c r="I28" s="9" t="inlineStr">
        <is>
          <t>Xem lịch sử board (activity) của các sprint.</t>
        </is>
      </c>
      <c r="J28" s="9" t="inlineStr">
        <is>
          <t>Board công việc; liên kết issue ↔ PR.</t>
        </is>
      </c>
    </row>
    <row r="29">
      <c r="A29" s="7" t="inlineStr">
        <is>
          <t>4.3</t>
        </is>
      </c>
      <c r="B29" s="8" t="inlineStr">
        <is>
          <t>Tiến độ so với kế hoạch</t>
        </is>
      </c>
      <c r="C29" s="7" t="inlineStr">
        <is>
          <t>Nhóm</t>
        </is>
      </c>
      <c r="D29" s="7" t="n">
        <v>0.3</v>
      </c>
      <c r="E29" s="9" t="inlineStr">
        <is>
          <t>Có burndown/velocity từng sprint, giải thích chênh lệch kế hoạch – thực tế và điều chỉnh ở sprint sau.</t>
        </is>
      </c>
      <c r="F29" s="9" t="inlineStr">
        <is>
          <t>Có số liệu tiến độ; giải thích chênh lệch còn sơ sài.</t>
        </is>
      </c>
      <c r="G29" s="9" t="inlineStr">
        <is>
          <t>Chỉ mô tả tiến độ bằng lời.</t>
        </is>
      </c>
      <c r="H29" s="9" t="inlineStr">
        <is>
          <t>Không đối chiếu tiến độ.</t>
        </is>
      </c>
      <c r="I29" s="9" t="inlineStr">
        <is>
          <t>Chấm phần tổng kết kế hoạch trong báo cáo (bài 11).</t>
        </is>
      </c>
      <c r="J29" s="9" t="inlineStr">
        <is>
          <t>Mục Kế hoạch và tiến độ trong báo cáo; báo cáo sprint.</t>
        </is>
      </c>
    </row>
    <row r="30">
      <c r="A30" s="7" t="inlineStr">
        <is>
          <t>4.4</t>
        </is>
      </c>
      <c r="B30" s="8" t="inlineStr">
        <is>
          <t>Hoàn thành nhiệm vụ cá nhân đúng hạn</t>
        </is>
      </c>
      <c r="C30" s="7" t="inlineStr">
        <is>
          <t>Cá nhân</t>
        </is>
      </c>
      <c r="D30" s="7" t="n">
        <v>0.4</v>
      </c>
      <c r="E30" s="9" t="inlineStr">
        <is>
          <t>Hoàn thành mọi công việc được giao trong sprint cam kết.</t>
        </is>
      </c>
      <c r="F30" s="9" t="inlineStr">
        <is>
          <t>Hoàn thành phần lớn; một việc trễ một sprint.</t>
        </is>
      </c>
      <c r="G30" s="9" t="inlineStr">
        <is>
          <t>Nhiều việc trễ hoặc phải chuyển cho người khác.</t>
        </is>
      </c>
      <c r="H30" s="9" t="inlineStr">
        <is>
          <t>Không hoàn thành nhiệm vụ được giao.</t>
        </is>
      </c>
      <c r="I30" s="9" t="inlineStr">
        <is>
          <t>Đối chiếu board với người phụ trách từng việc.</t>
        </is>
      </c>
      <c r="J30" s="9" t="inlineStr">
        <is>
          <t>Board; lịch sử commit/PR.</t>
        </is>
      </c>
    </row>
    <row r="31">
      <c r="A31" s="7" t="inlineStr">
        <is>
          <t>4.5</t>
        </is>
      </c>
      <c r="B31" s="8" t="inlineStr">
        <is>
          <t>Báo cáo vai trò và sắp xếp công việc cá nhân</t>
        </is>
      </c>
      <c r="C31" s="7" t="inlineStr">
        <is>
          <t>Cá nhân</t>
        </is>
      </c>
      <c r="D31" s="7" t="n">
        <v>0.4</v>
      </c>
      <c r="E31" s="9" t="inlineStr">
        <is>
          <t>Báo cáo cá nhân nêu nhiệm vụ, kế hoạch cá nhân theo sprint, đóng góp có link PR, khó khăn và cách sắp xếp lại công việc; khớp lịch sử repo.</t>
        </is>
      </c>
      <c r="F31" s="9" t="inlineStr">
        <is>
          <t>Đủ nhiệm vụ và đóng góp có minh chứng; phần sắp xếp công việc còn chung chung.</t>
        </is>
      </c>
      <c r="G31" s="9" t="inlineStr">
        <is>
          <t>Thiếu minh chứng hoặc thiếu phần kế hoạch cá nhân.</t>
        </is>
      </c>
      <c r="H31" s="9" t="inlineStr">
        <is>
          <t>Không nộp hoặc không khớp đóng góp thật.</t>
        </is>
      </c>
      <c r="I31" s="9" t="inlineStr">
        <is>
          <t>Kiểm tra ngẫu nhiên 2 link PR trong báo cáo cá nhân.</t>
        </is>
      </c>
      <c r="J31" s="9" t="inlineStr">
        <is>
          <t>Báo cáo vai trò cá nhân.</t>
        </is>
      </c>
    </row>
    <row r="32">
      <c r="A32" s="7" t="inlineStr">
        <is>
          <t>4.6</t>
        </is>
      </c>
      <c r="B32" s="8" t="inlineStr">
        <is>
          <t>Phối hợp nhóm</t>
        </is>
      </c>
      <c r="C32" s="7" t="inlineStr">
        <is>
          <t>Cá nhân</t>
        </is>
      </c>
      <c r="D32" s="7" t="n">
        <v>0.2</v>
      </c>
      <c r="E32" s="9" t="inlineStr">
        <is>
          <t>Tham gia đều Sprint Review/Retrospective, review PR của thành viên khác có nhận xét cụ thể.</t>
        </is>
      </c>
      <c r="F32" s="9" t="inlineStr">
        <is>
          <t>Tham gia phần lớn các buổi, có review PR.</t>
        </is>
      </c>
      <c r="G32" s="9" t="inlineStr">
        <is>
          <t>Vắng nhiều buổi hoặc review hình thức.</t>
        </is>
      </c>
      <c r="H32" s="9" t="inlineStr">
        <is>
          <t>Không tham gia hoạt động nhóm.</t>
        </is>
      </c>
      <c r="I32" s="9" t="inlineStr">
        <is>
          <t>Xem biên bản sprint và tab Pull requests (Reviewed by).</t>
        </is>
      </c>
      <c r="J32" s="9" t="inlineStr">
        <is>
          <t>Biên bản Sprint Review/Retrospective; lịch sử review PR.</t>
        </is>
      </c>
    </row>
  </sheetData>
  <mergeCells count="4">
    <mergeCell ref="A12:J12"/>
    <mergeCell ref="A26:J26"/>
    <mergeCell ref="A19:J19"/>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3"/>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4" customWidth="1" min="3" max="3"/>
    <col width="8"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30" customWidth="1" min="41" max="41"/>
  </cols>
  <sheetData>
    <row r="1">
      <c r="A1" s="5" t="inlineStr">
        <is>
          <t>STT</t>
        </is>
      </c>
      <c r="B1" s="5" t="inlineStr">
        <is>
          <t>MSSV</t>
        </is>
      </c>
      <c r="C1" s="5" t="inlineStr">
        <is>
          <t>Họ và tên</t>
        </is>
      </c>
      <c r="D1" s="5" t="inlineStr">
        <is>
          <t>Nhóm</t>
        </is>
      </c>
      <c r="E1" s="13" t="inlineStr">
        <is>
          <t>CLO1 (4 điểm)</t>
        </is>
      </c>
      <c r="F1" s="14" t="n"/>
      <c r="G1" s="14" t="n"/>
      <c r="H1" s="14" t="n"/>
      <c r="I1" s="14" t="n"/>
      <c r="J1" s="14" t="n"/>
      <c r="K1" s="14" t="n"/>
      <c r="L1" s="14" t="n"/>
      <c r="M1" s="14" t="n"/>
      <c r="N1" s="15" t="inlineStr">
        <is>
          <t>CLO2 (2 điểm)</t>
        </is>
      </c>
      <c r="O1" s="16" t="n"/>
      <c r="P1" s="16" t="n"/>
      <c r="Q1" s="16" t="n"/>
      <c r="R1" s="16" t="n"/>
      <c r="S1" s="16" t="n"/>
      <c r="T1" s="17" t="inlineStr">
        <is>
          <t>CLO3 (2 điểm)</t>
        </is>
      </c>
      <c r="U1" s="18" t="n"/>
      <c r="V1" s="18" t="n"/>
      <c r="W1" s="18" t="n"/>
      <c r="X1" s="18" t="n"/>
      <c r="Y1" s="18" t="n"/>
      <c r="Z1" s="19" t="inlineStr">
        <is>
          <t>CLO4 (2 điểm)</t>
        </is>
      </c>
      <c r="AA1" s="20" t="n"/>
      <c r="AB1" s="20" t="n"/>
      <c r="AC1" s="20" t="n"/>
      <c r="AD1" s="20" t="n"/>
      <c r="AE1" s="20" t="n"/>
      <c r="AF1" s="21" t="inlineStr">
        <is>
          <t>Điểm CLO</t>
        </is>
      </c>
      <c r="AG1" s="22" t="n"/>
      <c r="AH1" s="22" t="n"/>
      <c r="AI1" s="22" t="n"/>
      <c r="AJ1" s="5" t="inlineStr">
        <is>
          <t>Tổng (10)</t>
        </is>
      </c>
      <c r="AK1" s="23" t="inlineStr">
        <is>
          <t>Đạt CLO</t>
        </is>
      </c>
      <c r="AL1" s="24" t="n"/>
      <c r="AM1" s="24" t="n"/>
      <c r="AN1" s="24" t="n"/>
      <c r="AO1" s="5" t="inlineStr">
        <is>
          <t>Ghi chú</t>
        </is>
      </c>
    </row>
    <row r="2" ht="75" customHeight="1">
      <c r="E2" s="25" t="inlineStr">
        <is>
          <t>1.1 Phân tích yêu cầu và phạm vi web</t>
        </is>
      </c>
      <c r="F2" s="25" t="inlineStr">
        <is>
          <t>1.2 Sơ đồ chức năng và sitemap</t>
        </is>
      </c>
      <c r="G2" s="25" t="inlineStr">
        <is>
          <t>1.3 Ánh xạ route – chức năng – vai trò – API</t>
        </is>
      </c>
      <c r="H2" s="25" t="inlineStr">
        <is>
          <t>1.4 Thiết kế component và ranh giới Server/Client</t>
        </is>
      </c>
      <c r="I2" s="25" t="inlineStr">
        <is>
          <t>1.5 Phân tích module quản trị</t>
        </is>
      </c>
      <c r="J2" s="25" t="inlineStr">
        <is>
          <t>1.6 Phân tích phân quyền và bảo mật</t>
        </is>
      </c>
      <c r="K2" s="25" t="inlineStr">
        <is>
          <t>1.7 Phân tích luồng thời gian thực</t>
        </is>
      </c>
      <c r="L2" s="25" t="inlineStr">
        <is>
          <t>1.8 Sản phẩm triển khai khớp phân tích</t>
        </is>
      </c>
      <c r="M2" s="25" t="inlineStr">
        <is>
          <t>1.9 Giải thích phân tích và mã phần phụ trách (CN)</t>
        </is>
      </c>
      <c r="N2" s="26" t="inlineStr">
        <is>
          <t>2.1 Kế hoạch kiểm thử</t>
        </is>
      </c>
      <c r="O2" s="26" t="inlineStr">
        <is>
          <t>2.2 Test case truy vết tới yêu cầu</t>
        </is>
      </c>
      <c r="P2" s="26" t="inlineStr">
        <is>
          <t>2.3 Kiểm thử tự động đơn vị và component</t>
        </is>
      </c>
      <c r="Q2" s="26" t="inlineStr">
        <is>
          <t>2.4 Kiểm thử đầu-cuối luồng chính</t>
        </is>
      </c>
      <c r="R2" s="26" t="inlineStr">
        <is>
          <t>2.5 Kết quả kiểm thử và quản lý lỗi</t>
        </is>
      </c>
      <c r="S2" s="26" t="inlineStr">
        <is>
          <t>2.6 Kiểm thử phi chức năng</t>
        </is>
      </c>
      <c r="T2" s="27" t="inlineStr">
        <is>
          <t>3.1 Cấu trúc báo cáo</t>
        </is>
      </c>
      <c r="U2" s="27" t="inlineStr">
        <is>
          <t>3.2 Nội dung hợp lý và có minh chứng</t>
        </is>
      </c>
      <c r="V2" s="27" t="inlineStr">
        <is>
          <t>3.3 Định dạng trình bày</t>
        </is>
      </c>
      <c r="W2" s="27" t="inlineStr">
        <is>
          <t>3.4 Hình, bảng và sơ đồ</t>
        </is>
      </c>
      <c r="X2" s="27" t="inlineStr">
        <is>
          <t>3.5 Trích dẫn và tài liệu tham khảo</t>
        </is>
      </c>
      <c r="Y2" s="27" t="inlineStr">
        <is>
          <t>3.6 Ngôn ngữ và văn phong</t>
        </is>
      </c>
      <c r="Z2" s="28" t="inlineStr">
        <is>
          <t>4.1 Backlog và kế hoạch sprint</t>
        </is>
      </c>
      <c r="AA2" s="28" t="inlineStr">
        <is>
          <t>4.2 Phân công và theo dõi công việc</t>
        </is>
      </c>
      <c r="AB2" s="28" t="inlineStr">
        <is>
          <t>4.3 Tiến độ so với kế hoạch</t>
        </is>
      </c>
      <c r="AC2" s="28" t="inlineStr">
        <is>
          <t>4.4 Hoàn thành nhiệm vụ cá nhân đúng hạn (CN)</t>
        </is>
      </c>
      <c r="AD2" s="28" t="inlineStr">
        <is>
          <t>4.5 Báo cáo vai trò và sắp xếp công việc cá nhân (CN)</t>
        </is>
      </c>
      <c r="AE2" s="28" t="inlineStr">
        <is>
          <t>4.6 Phối hợp nhóm (CN)</t>
        </is>
      </c>
      <c r="AF2" s="29" t="inlineStr">
        <is>
          <t>CLO1</t>
        </is>
      </c>
      <c r="AG2" s="29" t="inlineStr">
        <is>
          <t>CLO2</t>
        </is>
      </c>
      <c r="AH2" s="29" t="inlineStr">
        <is>
          <t>CLO3</t>
        </is>
      </c>
      <c r="AI2" s="29" t="inlineStr">
        <is>
          <t>CLO4</t>
        </is>
      </c>
      <c r="AK2" s="30" t="inlineStr">
        <is>
          <t>CLO1</t>
        </is>
      </c>
      <c r="AL2" s="30" t="inlineStr">
        <is>
          <t>CLO2</t>
        </is>
      </c>
      <c r="AM2" s="30" t="inlineStr">
        <is>
          <t>CLO3</t>
        </is>
      </c>
      <c r="AN2" s="30" t="inlineStr">
        <is>
          <t>CLO4</t>
        </is>
      </c>
    </row>
    <row r="3">
      <c r="E3" s="31" t="n">
        <v>0.5</v>
      </c>
      <c r="F3" s="31" t="n">
        <v>0.5</v>
      </c>
      <c r="G3" s="31" t="n">
        <v>0.5</v>
      </c>
      <c r="H3" s="31" t="n">
        <v>0.5</v>
      </c>
      <c r="I3" s="31" t="n">
        <v>0.5</v>
      </c>
      <c r="J3" s="31" t="n">
        <v>0.4</v>
      </c>
      <c r="K3" s="31" t="n">
        <v>0.4</v>
      </c>
      <c r="L3" s="31" t="n">
        <v>0.4</v>
      </c>
      <c r="M3" s="31" t="n">
        <v>0.3</v>
      </c>
      <c r="N3" s="31" t="n">
        <v>0.3</v>
      </c>
      <c r="O3" s="31" t="n">
        <v>0.5</v>
      </c>
      <c r="P3" s="31" t="n">
        <v>0.4</v>
      </c>
      <c r="Q3" s="31" t="n">
        <v>0.3</v>
      </c>
      <c r="R3" s="31" t="n">
        <v>0.3</v>
      </c>
      <c r="S3" s="31" t="n">
        <v>0.2</v>
      </c>
      <c r="T3" s="31" t="n">
        <v>0.4</v>
      </c>
      <c r="U3" s="31" t="n">
        <v>0.4</v>
      </c>
      <c r="V3" s="31" t="n">
        <v>0.4</v>
      </c>
      <c r="W3" s="31" t="n">
        <v>0.3</v>
      </c>
      <c r="X3" s="31" t="n">
        <v>0.2</v>
      </c>
      <c r="Y3" s="31" t="n">
        <v>0.3</v>
      </c>
      <c r="Z3" s="31" t="n">
        <v>0.4</v>
      </c>
      <c r="AA3" s="31" t="n">
        <v>0.3</v>
      </c>
      <c r="AB3" s="31" t="n">
        <v>0.3</v>
      </c>
      <c r="AC3" s="31" t="n">
        <v>0.4</v>
      </c>
      <c r="AD3" s="31" t="n">
        <v>0.4</v>
      </c>
      <c r="AE3" s="31" t="n">
        <v>0.2</v>
      </c>
      <c r="AF3" s="31" t="n">
        <v>4</v>
      </c>
      <c r="AG3" s="31" t="n">
        <v>2</v>
      </c>
      <c r="AH3" s="31" t="n">
        <v>2</v>
      </c>
      <c r="AI3" s="31" t="n">
        <v>2</v>
      </c>
      <c r="AJ3" s="7" t="n">
        <v>10</v>
      </c>
      <c r="AK3" s="31" t="inlineStr">
        <is>
          <t>≥ 2</t>
        </is>
      </c>
      <c r="AL3" s="31" t="inlineStr">
        <is>
          <t>≥ 1</t>
        </is>
      </c>
      <c r="AM3" s="31" t="inlineStr">
        <is>
          <t>≥ 1</t>
        </is>
      </c>
      <c r="AN3" s="31" t="inlineStr">
        <is>
          <t>≥ 1</t>
        </is>
      </c>
      <c r="AO3" s="7" t="inlineStr"/>
    </row>
    <row r="4">
      <c r="A4" s="7" t="n">
        <v>1</v>
      </c>
      <c r="B4" s="32" t="n"/>
      <c r="C4" s="32" t="n"/>
      <c r="D4" s="32" t="n"/>
      <c r="E4" s="32" t="n"/>
      <c r="F4" s="32" t="n"/>
      <c r="G4" s="32" t="n"/>
      <c r="H4" s="32" t="n"/>
      <c r="I4" s="32" t="n"/>
      <c r="J4" s="32" t="n"/>
      <c r="K4" s="32" t="n"/>
      <c r="L4" s="32" t="n"/>
      <c r="M4" s="32" t="n"/>
      <c r="N4" s="32" t="n"/>
      <c r="O4" s="32" t="n"/>
      <c r="P4" s="32" t="n"/>
      <c r="Q4" s="32" t="n"/>
      <c r="R4" s="32" t="n"/>
      <c r="S4" s="32" t="n"/>
      <c r="T4" s="32" t="n"/>
      <c r="U4" s="32" t="n"/>
      <c r="V4" s="32" t="n"/>
      <c r="W4" s="32" t="n"/>
      <c r="X4" s="32" t="n"/>
      <c r="Y4" s="32" t="n"/>
      <c r="Z4" s="32" t="n"/>
      <c r="AA4" s="32" t="n"/>
      <c r="AB4" s="32" t="n"/>
      <c r="AC4" s="32" t="n"/>
      <c r="AD4" s="32" t="n"/>
      <c r="AE4" s="32" t="n"/>
      <c r="AF4" s="7">
        <f>IF(COUNT(E4:M4)=9,ROUND(SUM(E4:M4),2),"")</f>
        <v/>
      </c>
      <c r="AG4" s="7">
        <f>IF(COUNT(N4:S4)=6,ROUND(SUM(N4:S4),2),"")</f>
        <v/>
      </c>
      <c r="AH4" s="7">
        <f>IF(COUNT(T4:Y4)=6,ROUND(SUM(T4:Y4),2),"")</f>
        <v/>
      </c>
      <c r="AI4" s="7">
        <f>IF(COUNT(Z4:AE4)=6,ROUND(SUM(Z4:AE4),2),"")</f>
        <v/>
      </c>
      <c r="AJ4" s="33">
        <f>IF(COUNT(AF4:AI4)=4,ROUND(SUM(AF4:AI4),2),"")</f>
        <v/>
      </c>
      <c r="AK4" s="7">
        <f>IF(AF4="","",IF(AF4&gt;=2.0,"Đạt","Chưa đạt"))</f>
        <v/>
      </c>
      <c r="AL4" s="7">
        <f>IF(AG4="","",IF(AG4&gt;=1.0,"Đạt","Chưa đạt"))</f>
        <v/>
      </c>
      <c r="AM4" s="7">
        <f>IF(AH4="","",IF(AH4&gt;=1.0,"Đạt","Chưa đạt"))</f>
        <v/>
      </c>
      <c r="AN4" s="7">
        <f>IF(AI4="","",IF(AI4&gt;=1.0,"Đạt","Chưa đạt"))</f>
        <v/>
      </c>
      <c r="AO4" s="32" t="n"/>
    </row>
    <row r="5">
      <c r="A5" s="7" t="n">
        <v>2</v>
      </c>
      <c r="B5" s="32" t="n"/>
      <c r="C5" s="32" t="n"/>
      <c r="D5" s="32" t="n"/>
      <c r="E5" s="32" t="n"/>
      <c r="F5" s="32" t="n"/>
      <c r="G5" s="32" t="n"/>
      <c r="H5" s="32" t="n"/>
      <c r="I5" s="32" t="n"/>
      <c r="J5" s="32" t="n"/>
      <c r="K5" s="32" t="n"/>
      <c r="L5" s="32" t="n"/>
      <c r="M5" s="32" t="n"/>
      <c r="N5" s="32" t="n"/>
      <c r="O5" s="32" t="n"/>
      <c r="P5" s="32" t="n"/>
      <c r="Q5" s="32" t="n"/>
      <c r="R5" s="32" t="n"/>
      <c r="S5" s="32" t="n"/>
      <c r="T5" s="32" t="n"/>
      <c r="U5" s="32" t="n"/>
      <c r="V5" s="32" t="n"/>
      <c r="W5" s="32" t="n"/>
      <c r="X5" s="32" t="n"/>
      <c r="Y5" s="32" t="n"/>
      <c r="Z5" s="32" t="n"/>
      <c r="AA5" s="32" t="n"/>
      <c r="AB5" s="32" t="n"/>
      <c r="AC5" s="32" t="n"/>
      <c r="AD5" s="32" t="n"/>
      <c r="AE5" s="32" t="n"/>
      <c r="AF5" s="7">
        <f>IF(COUNT(E5:M5)=9,ROUND(SUM(E5:M5),2),"")</f>
        <v/>
      </c>
      <c r="AG5" s="7">
        <f>IF(COUNT(N5:S5)=6,ROUND(SUM(N5:S5),2),"")</f>
        <v/>
      </c>
      <c r="AH5" s="7">
        <f>IF(COUNT(T5:Y5)=6,ROUND(SUM(T5:Y5),2),"")</f>
        <v/>
      </c>
      <c r="AI5" s="7">
        <f>IF(COUNT(Z5:AE5)=6,ROUND(SUM(Z5:AE5),2),"")</f>
        <v/>
      </c>
      <c r="AJ5" s="33">
        <f>IF(COUNT(AF5:AI5)=4,ROUND(SUM(AF5:AI5),2),"")</f>
        <v/>
      </c>
      <c r="AK5" s="7">
        <f>IF(AF5="","",IF(AF5&gt;=2.0,"Đạt","Chưa đạt"))</f>
        <v/>
      </c>
      <c r="AL5" s="7">
        <f>IF(AG5="","",IF(AG5&gt;=1.0,"Đạt","Chưa đạt"))</f>
        <v/>
      </c>
      <c r="AM5" s="7">
        <f>IF(AH5="","",IF(AH5&gt;=1.0,"Đạt","Chưa đạt"))</f>
        <v/>
      </c>
      <c r="AN5" s="7">
        <f>IF(AI5="","",IF(AI5&gt;=1.0,"Đạt","Chưa đạt"))</f>
        <v/>
      </c>
      <c r="AO5" s="32" t="n"/>
    </row>
    <row r="6">
      <c r="A6" s="7" t="n">
        <v>3</v>
      </c>
      <c r="B6" s="32" t="n"/>
      <c r="C6" s="32" t="n"/>
      <c r="D6" s="32" t="n"/>
      <c r="E6" s="32" t="n"/>
      <c r="F6" s="32" t="n"/>
      <c r="G6" s="32" t="n"/>
      <c r="H6" s="32" t="n"/>
      <c r="I6" s="32" t="n"/>
      <c r="J6" s="32" t="n"/>
      <c r="K6" s="32" t="n"/>
      <c r="L6" s="32" t="n"/>
      <c r="M6" s="32" t="n"/>
      <c r="N6" s="32" t="n"/>
      <c r="O6" s="32" t="n"/>
      <c r="P6" s="32" t="n"/>
      <c r="Q6" s="32" t="n"/>
      <c r="R6" s="32" t="n"/>
      <c r="S6" s="32" t="n"/>
      <c r="T6" s="32" t="n"/>
      <c r="U6" s="32" t="n"/>
      <c r="V6" s="32" t="n"/>
      <c r="W6" s="32" t="n"/>
      <c r="X6" s="32" t="n"/>
      <c r="Y6" s="32" t="n"/>
      <c r="Z6" s="32" t="n"/>
      <c r="AA6" s="32" t="n"/>
      <c r="AB6" s="32" t="n"/>
      <c r="AC6" s="32" t="n"/>
      <c r="AD6" s="32" t="n"/>
      <c r="AE6" s="32" t="n"/>
      <c r="AF6" s="7">
        <f>IF(COUNT(E6:M6)=9,ROUND(SUM(E6:M6),2),"")</f>
        <v/>
      </c>
      <c r="AG6" s="7">
        <f>IF(COUNT(N6:S6)=6,ROUND(SUM(N6:S6),2),"")</f>
        <v/>
      </c>
      <c r="AH6" s="7">
        <f>IF(COUNT(T6:Y6)=6,ROUND(SUM(T6:Y6),2),"")</f>
        <v/>
      </c>
      <c r="AI6" s="7">
        <f>IF(COUNT(Z6:AE6)=6,ROUND(SUM(Z6:AE6),2),"")</f>
        <v/>
      </c>
      <c r="AJ6" s="33">
        <f>IF(COUNT(AF6:AI6)=4,ROUND(SUM(AF6:AI6),2),"")</f>
        <v/>
      </c>
      <c r="AK6" s="7">
        <f>IF(AF6="","",IF(AF6&gt;=2.0,"Đạt","Chưa đạt"))</f>
        <v/>
      </c>
      <c r="AL6" s="7">
        <f>IF(AG6="","",IF(AG6&gt;=1.0,"Đạt","Chưa đạt"))</f>
        <v/>
      </c>
      <c r="AM6" s="7">
        <f>IF(AH6="","",IF(AH6&gt;=1.0,"Đạt","Chưa đạt"))</f>
        <v/>
      </c>
      <c r="AN6" s="7">
        <f>IF(AI6="","",IF(AI6&gt;=1.0,"Đạt","Chưa đạt"))</f>
        <v/>
      </c>
      <c r="AO6" s="32" t="n"/>
    </row>
    <row r="7">
      <c r="A7" s="7" t="n">
        <v>4</v>
      </c>
      <c r="B7" s="32" t="n"/>
      <c r="C7" s="32" t="n"/>
      <c r="D7" s="32" t="n"/>
      <c r="E7" s="32" t="n"/>
      <c r="F7" s="32" t="n"/>
      <c r="G7" s="32" t="n"/>
      <c r="H7" s="32" t="n"/>
      <c r="I7" s="32" t="n"/>
      <c r="J7" s="32" t="n"/>
      <c r="K7" s="32" t="n"/>
      <c r="L7" s="32" t="n"/>
      <c r="M7" s="32" t="n"/>
      <c r="N7" s="32" t="n"/>
      <c r="O7" s="32" t="n"/>
      <c r="P7" s="32" t="n"/>
      <c r="Q7" s="32" t="n"/>
      <c r="R7" s="32" t="n"/>
      <c r="S7" s="32" t="n"/>
      <c r="T7" s="32" t="n"/>
      <c r="U7" s="32" t="n"/>
      <c r="V7" s="32" t="n"/>
      <c r="W7" s="32" t="n"/>
      <c r="X7" s="32" t="n"/>
      <c r="Y7" s="32" t="n"/>
      <c r="Z7" s="32" t="n"/>
      <c r="AA7" s="32" t="n"/>
      <c r="AB7" s="32" t="n"/>
      <c r="AC7" s="32" t="n"/>
      <c r="AD7" s="32" t="n"/>
      <c r="AE7" s="32" t="n"/>
      <c r="AF7" s="7">
        <f>IF(COUNT(E7:M7)=9,ROUND(SUM(E7:M7),2),"")</f>
        <v/>
      </c>
      <c r="AG7" s="7">
        <f>IF(COUNT(N7:S7)=6,ROUND(SUM(N7:S7),2),"")</f>
        <v/>
      </c>
      <c r="AH7" s="7">
        <f>IF(COUNT(T7:Y7)=6,ROUND(SUM(T7:Y7),2),"")</f>
        <v/>
      </c>
      <c r="AI7" s="7">
        <f>IF(COUNT(Z7:AE7)=6,ROUND(SUM(Z7:AE7),2),"")</f>
        <v/>
      </c>
      <c r="AJ7" s="33">
        <f>IF(COUNT(AF7:AI7)=4,ROUND(SUM(AF7:AI7),2),"")</f>
        <v/>
      </c>
      <c r="AK7" s="7">
        <f>IF(AF7="","",IF(AF7&gt;=2.0,"Đạt","Chưa đạt"))</f>
        <v/>
      </c>
      <c r="AL7" s="7">
        <f>IF(AG7="","",IF(AG7&gt;=1.0,"Đạt","Chưa đạt"))</f>
        <v/>
      </c>
      <c r="AM7" s="7">
        <f>IF(AH7="","",IF(AH7&gt;=1.0,"Đạt","Chưa đạt"))</f>
        <v/>
      </c>
      <c r="AN7" s="7">
        <f>IF(AI7="","",IF(AI7&gt;=1.0,"Đạt","Chưa đạt"))</f>
        <v/>
      </c>
      <c r="AO7" s="32" t="n"/>
    </row>
    <row r="8">
      <c r="A8" s="7" t="n">
        <v>5</v>
      </c>
      <c r="B8" s="32" t="n"/>
      <c r="C8" s="32" t="n"/>
      <c r="D8" s="32" t="n"/>
      <c r="E8" s="32" t="n"/>
      <c r="F8" s="32" t="n"/>
      <c r="G8" s="32" t="n"/>
      <c r="H8" s="32" t="n"/>
      <c r="I8" s="32" t="n"/>
      <c r="J8" s="32" t="n"/>
      <c r="K8" s="32" t="n"/>
      <c r="L8" s="32" t="n"/>
      <c r="M8" s="32" t="n"/>
      <c r="N8" s="32" t="n"/>
      <c r="O8" s="32" t="n"/>
      <c r="P8" s="32" t="n"/>
      <c r="Q8" s="32" t="n"/>
      <c r="R8" s="32" t="n"/>
      <c r="S8" s="32" t="n"/>
      <c r="T8" s="32" t="n"/>
      <c r="U8" s="32" t="n"/>
      <c r="V8" s="32" t="n"/>
      <c r="W8" s="32" t="n"/>
      <c r="X8" s="32" t="n"/>
      <c r="Y8" s="32" t="n"/>
      <c r="Z8" s="32" t="n"/>
      <c r="AA8" s="32" t="n"/>
      <c r="AB8" s="32" t="n"/>
      <c r="AC8" s="32" t="n"/>
      <c r="AD8" s="32" t="n"/>
      <c r="AE8" s="32" t="n"/>
      <c r="AF8" s="7">
        <f>IF(COUNT(E8:M8)=9,ROUND(SUM(E8:M8),2),"")</f>
        <v/>
      </c>
      <c r="AG8" s="7">
        <f>IF(COUNT(N8:S8)=6,ROUND(SUM(N8:S8),2),"")</f>
        <v/>
      </c>
      <c r="AH8" s="7">
        <f>IF(COUNT(T8:Y8)=6,ROUND(SUM(T8:Y8),2),"")</f>
        <v/>
      </c>
      <c r="AI8" s="7">
        <f>IF(COUNT(Z8:AE8)=6,ROUND(SUM(Z8:AE8),2),"")</f>
        <v/>
      </c>
      <c r="AJ8" s="33">
        <f>IF(COUNT(AF8:AI8)=4,ROUND(SUM(AF8:AI8),2),"")</f>
        <v/>
      </c>
      <c r="AK8" s="7">
        <f>IF(AF8="","",IF(AF8&gt;=2.0,"Đạt","Chưa đạt"))</f>
        <v/>
      </c>
      <c r="AL8" s="7">
        <f>IF(AG8="","",IF(AG8&gt;=1.0,"Đạt","Chưa đạt"))</f>
        <v/>
      </c>
      <c r="AM8" s="7">
        <f>IF(AH8="","",IF(AH8&gt;=1.0,"Đạt","Chưa đạt"))</f>
        <v/>
      </c>
      <c r="AN8" s="7">
        <f>IF(AI8="","",IF(AI8&gt;=1.0,"Đạt","Chưa đạt"))</f>
        <v/>
      </c>
      <c r="AO8" s="32" t="n"/>
    </row>
    <row r="9">
      <c r="A9" s="7" t="n">
        <v>6</v>
      </c>
      <c r="B9" s="32" t="n"/>
      <c r="C9" s="32" t="n"/>
      <c r="D9" s="32" t="n"/>
      <c r="E9" s="32" t="n"/>
      <c r="F9" s="32" t="n"/>
      <c r="G9" s="32" t="n"/>
      <c r="H9" s="32" t="n"/>
      <c r="I9" s="32" t="n"/>
      <c r="J9" s="32" t="n"/>
      <c r="K9" s="32" t="n"/>
      <c r="L9" s="32" t="n"/>
      <c r="M9" s="32" t="n"/>
      <c r="N9" s="32" t="n"/>
      <c r="O9" s="32" t="n"/>
      <c r="P9" s="32" t="n"/>
      <c r="Q9" s="32" t="n"/>
      <c r="R9" s="32" t="n"/>
      <c r="S9" s="32" t="n"/>
      <c r="T9" s="32" t="n"/>
      <c r="U9" s="32" t="n"/>
      <c r="V9" s="32" t="n"/>
      <c r="W9" s="32" t="n"/>
      <c r="X9" s="32" t="n"/>
      <c r="Y9" s="32" t="n"/>
      <c r="Z9" s="32" t="n"/>
      <c r="AA9" s="32" t="n"/>
      <c r="AB9" s="32" t="n"/>
      <c r="AC9" s="32" t="n"/>
      <c r="AD9" s="32" t="n"/>
      <c r="AE9" s="32" t="n"/>
      <c r="AF9" s="7">
        <f>IF(COUNT(E9:M9)=9,ROUND(SUM(E9:M9),2),"")</f>
        <v/>
      </c>
      <c r="AG9" s="7">
        <f>IF(COUNT(N9:S9)=6,ROUND(SUM(N9:S9),2),"")</f>
        <v/>
      </c>
      <c r="AH9" s="7">
        <f>IF(COUNT(T9:Y9)=6,ROUND(SUM(T9:Y9),2),"")</f>
        <v/>
      </c>
      <c r="AI9" s="7">
        <f>IF(COUNT(Z9:AE9)=6,ROUND(SUM(Z9:AE9),2),"")</f>
        <v/>
      </c>
      <c r="AJ9" s="33">
        <f>IF(COUNT(AF9:AI9)=4,ROUND(SUM(AF9:AI9),2),"")</f>
        <v/>
      </c>
      <c r="AK9" s="7">
        <f>IF(AF9="","",IF(AF9&gt;=2.0,"Đạt","Chưa đạt"))</f>
        <v/>
      </c>
      <c r="AL9" s="7">
        <f>IF(AG9="","",IF(AG9&gt;=1.0,"Đạt","Chưa đạt"))</f>
        <v/>
      </c>
      <c r="AM9" s="7">
        <f>IF(AH9="","",IF(AH9&gt;=1.0,"Đạt","Chưa đạt"))</f>
        <v/>
      </c>
      <c r="AN9" s="7">
        <f>IF(AI9="","",IF(AI9&gt;=1.0,"Đạt","Chưa đạt"))</f>
        <v/>
      </c>
      <c r="AO9" s="32" t="n"/>
    </row>
    <row r="10">
      <c r="A10" s="7" t="n">
        <v>7</v>
      </c>
      <c r="B10" s="32" t="n"/>
      <c r="C10" s="32" t="n"/>
      <c r="D10" s="32" t="n"/>
      <c r="E10" s="32" t="n"/>
      <c r="F10" s="32" t="n"/>
      <c r="G10" s="32" t="n"/>
      <c r="H10" s="32" t="n"/>
      <c r="I10" s="32" t="n"/>
      <c r="J10" s="32" t="n"/>
      <c r="K10" s="32" t="n"/>
      <c r="L10" s="32" t="n"/>
      <c r="M10" s="32" t="n"/>
      <c r="N10" s="32" t="n"/>
      <c r="O10" s="32" t="n"/>
      <c r="P10" s="32" t="n"/>
      <c r="Q10" s="32" t="n"/>
      <c r="R10" s="32" t="n"/>
      <c r="S10" s="32" t="n"/>
      <c r="T10" s="32" t="n"/>
      <c r="U10" s="32" t="n"/>
      <c r="V10" s="32" t="n"/>
      <c r="W10" s="32" t="n"/>
      <c r="X10" s="32" t="n"/>
      <c r="Y10" s="32" t="n"/>
      <c r="Z10" s="32" t="n"/>
      <c r="AA10" s="32" t="n"/>
      <c r="AB10" s="32" t="n"/>
      <c r="AC10" s="32" t="n"/>
      <c r="AD10" s="32" t="n"/>
      <c r="AE10" s="32" t="n"/>
      <c r="AF10" s="7">
        <f>IF(COUNT(E10:M10)=9,ROUND(SUM(E10:M10),2),"")</f>
        <v/>
      </c>
      <c r="AG10" s="7">
        <f>IF(COUNT(N10:S10)=6,ROUND(SUM(N10:S10),2),"")</f>
        <v/>
      </c>
      <c r="AH10" s="7">
        <f>IF(COUNT(T10:Y10)=6,ROUND(SUM(T10:Y10),2),"")</f>
        <v/>
      </c>
      <c r="AI10" s="7">
        <f>IF(COUNT(Z10:AE10)=6,ROUND(SUM(Z10:AE10),2),"")</f>
        <v/>
      </c>
      <c r="AJ10" s="33">
        <f>IF(COUNT(AF10:AI10)=4,ROUND(SUM(AF10:AI10),2),"")</f>
        <v/>
      </c>
      <c r="AK10" s="7">
        <f>IF(AF10="","",IF(AF10&gt;=2.0,"Đạt","Chưa đạt"))</f>
        <v/>
      </c>
      <c r="AL10" s="7">
        <f>IF(AG10="","",IF(AG10&gt;=1.0,"Đạt","Chưa đạt"))</f>
        <v/>
      </c>
      <c r="AM10" s="7">
        <f>IF(AH10="","",IF(AH10&gt;=1.0,"Đạt","Chưa đạt"))</f>
        <v/>
      </c>
      <c r="AN10" s="7">
        <f>IF(AI10="","",IF(AI10&gt;=1.0,"Đạt","Chưa đạt"))</f>
        <v/>
      </c>
      <c r="AO10" s="32" t="n"/>
    </row>
    <row r="11">
      <c r="A11" s="7" t="n">
        <v>8</v>
      </c>
      <c r="B11" s="32" t="n"/>
      <c r="C11" s="32" t="n"/>
      <c r="D11" s="32" t="n"/>
      <c r="E11" s="32" t="n"/>
      <c r="F11" s="32" t="n"/>
      <c r="G11" s="32" t="n"/>
      <c r="H11" s="32" t="n"/>
      <c r="I11" s="32" t="n"/>
      <c r="J11" s="32" t="n"/>
      <c r="K11" s="32" t="n"/>
      <c r="L11" s="32" t="n"/>
      <c r="M11" s="32" t="n"/>
      <c r="N11" s="32" t="n"/>
      <c r="O11" s="32" t="n"/>
      <c r="P11" s="32" t="n"/>
      <c r="Q11" s="32" t="n"/>
      <c r="R11" s="32" t="n"/>
      <c r="S11" s="32" t="n"/>
      <c r="T11" s="32" t="n"/>
      <c r="U11" s="32" t="n"/>
      <c r="V11" s="32" t="n"/>
      <c r="W11" s="32" t="n"/>
      <c r="X11" s="32" t="n"/>
      <c r="Y11" s="32" t="n"/>
      <c r="Z11" s="32" t="n"/>
      <c r="AA11" s="32" t="n"/>
      <c r="AB11" s="32" t="n"/>
      <c r="AC11" s="32" t="n"/>
      <c r="AD11" s="32" t="n"/>
      <c r="AE11" s="32" t="n"/>
      <c r="AF11" s="7">
        <f>IF(COUNT(E11:M11)=9,ROUND(SUM(E11:M11),2),"")</f>
        <v/>
      </c>
      <c r="AG11" s="7">
        <f>IF(COUNT(N11:S11)=6,ROUND(SUM(N11:S11),2),"")</f>
        <v/>
      </c>
      <c r="AH11" s="7">
        <f>IF(COUNT(T11:Y11)=6,ROUND(SUM(T11:Y11),2),"")</f>
        <v/>
      </c>
      <c r="AI11" s="7">
        <f>IF(COUNT(Z11:AE11)=6,ROUND(SUM(Z11:AE11),2),"")</f>
        <v/>
      </c>
      <c r="AJ11" s="33">
        <f>IF(COUNT(AF11:AI11)=4,ROUND(SUM(AF11:AI11),2),"")</f>
        <v/>
      </c>
      <c r="AK11" s="7">
        <f>IF(AF11="","",IF(AF11&gt;=2.0,"Đạt","Chưa đạt"))</f>
        <v/>
      </c>
      <c r="AL11" s="7">
        <f>IF(AG11="","",IF(AG11&gt;=1.0,"Đạt","Chưa đạt"))</f>
        <v/>
      </c>
      <c r="AM11" s="7">
        <f>IF(AH11="","",IF(AH11&gt;=1.0,"Đạt","Chưa đạt"))</f>
        <v/>
      </c>
      <c r="AN11" s="7">
        <f>IF(AI11="","",IF(AI11&gt;=1.0,"Đạt","Chưa đạt"))</f>
        <v/>
      </c>
      <c r="AO11" s="32" t="n"/>
    </row>
    <row r="12">
      <c r="A12" s="7" t="n">
        <v>9</v>
      </c>
      <c r="B12" s="32" t="n"/>
      <c r="C12" s="32" t="n"/>
      <c r="D12" s="32" t="n"/>
      <c r="E12" s="32" t="n"/>
      <c r="F12" s="32" t="n"/>
      <c r="G12" s="32" t="n"/>
      <c r="H12" s="32" t="n"/>
      <c r="I12" s="32" t="n"/>
      <c r="J12" s="32" t="n"/>
      <c r="K12" s="32" t="n"/>
      <c r="L12" s="32" t="n"/>
      <c r="M12" s="32" t="n"/>
      <c r="N12" s="32" t="n"/>
      <c r="O12" s="32" t="n"/>
      <c r="P12" s="32" t="n"/>
      <c r="Q12" s="32" t="n"/>
      <c r="R12" s="32" t="n"/>
      <c r="S12" s="32" t="n"/>
      <c r="T12" s="32" t="n"/>
      <c r="U12" s="32" t="n"/>
      <c r="V12" s="32" t="n"/>
      <c r="W12" s="32" t="n"/>
      <c r="X12" s="32" t="n"/>
      <c r="Y12" s="32" t="n"/>
      <c r="Z12" s="32" t="n"/>
      <c r="AA12" s="32" t="n"/>
      <c r="AB12" s="32" t="n"/>
      <c r="AC12" s="32" t="n"/>
      <c r="AD12" s="32" t="n"/>
      <c r="AE12" s="32" t="n"/>
      <c r="AF12" s="7">
        <f>IF(COUNT(E12:M12)=9,ROUND(SUM(E12:M12),2),"")</f>
        <v/>
      </c>
      <c r="AG12" s="7">
        <f>IF(COUNT(N12:S12)=6,ROUND(SUM(N12:S12),2),"")</f>
        <v/>
      </c>
      <c r="AH12" s="7">
        <f>IF(COUNT(T12:Y12)=6,ROUND(SUM(T12:Y12),2),"")</f>
        <v/>
      </c>
      <c r="AI12" s="7">
        <f>IF(COUNT(Z12:AE12)=6,ROUND(SUM(Z12:AE12),2),"")</f>
        <v/>
      </c>
      <c r="AJ12" s="33">
        <f>IF(COUNT(AF12:AI12)=4,ROUND(SUM(AF12:AI12),2),"")</f>
        <v/>
      </c>
      <c r="AK12" s="7">
        <f>IF(AF12="","",IF(AF12&gt;=2.0,"Đạt","Chưa đạt"))</f>
        <v/>
      </c>
      <c r="AL12" s="7">
        <f>IF(AG12="","",IF(AG12&gt;=1.0,"Đạt","Chưa đạt"))</f>
        <v/>
      </c>
      <c r="AM12" s="7">
        <f>IF(AH12="","",IF(AH12&gt;=1.0,"Đạt","Chưa đạt"))</f>
        <v/>
      </c>
      <c r="AN12" s="7">
        <f>IF(AI12="","",IF(AI12&gt;=1.0,"Đạt","Chưa đạt"))</f>
        <v/>
      </c>
      <c r="AO12" s="32" t="n"/>
    </row>
    <row r="13">
      <c r="A13" s="7" t="n">
        <v>10</v>
      </c>
      <c r="B13" s="32" t="n"/>
      <c r="C13" s="32" t="n"/>
      <c r="D13" s="32" t="n"/>
      <c r="E13" s="32" t="n"/>
      <c r="F13" s="32" t="n"/>
      <c r="G13" s="32" t="n"/>
      <c r="H13" s="32" t="n"/>
      <c r="I13" s="32" t="n"/>
      <c r="J13" s="32" t="n"/>
      <c r="K13" s="32" t="n"/>
      <c r="L13" s="32" t="n"/>
      <c r="M13" s="32" t="n"/>
      <c r="N13" s="32" t="n"/>
      <c r="O13" s="32" t="n"/>
      <c r="P13" s="32" t="n"/>
      <c r="Q13" s="32" t="n"/>
      <c r="R13" s="32" t="n"/>
      <c r="S13" s="32" t="n"/>
      <c r="T13" s="32" t="n"/>
      <c r="U13" s="32" t="n"/>
      <c r="V13" s="32" t="n"/>
      <c r="W13" s="32" t="n"/>
      <c r="X13" s="32" t="n"/>
      <c r="Y13" s="32" t="n"/>
      <c r="Z13" s="32" t="n"/>
      <c r="AA13" s="32" t="n"/>
      <c r="AB13" s="32" t="n"/>
      <c r="AC13" s="32" t="n"/>
      <c r="AD13" s="32" t="n"/>
      <c r="AE13" s="32" t="n"/>
      <c r="AF13" s="7">
        <f>IF(COUNT(E13:M13)=9,ROUND(SUM(E13:M13),2),"")</f>
        <v/>
      </c>
      <c r="AG13" s="7">
        <f>IF(COUNT(N13:S13)=6,ROUND(SUM(N13:S13),2),"")</f>
        <v/>
      </c>
      <c r="AH13" s="7">
        <f>IF(COUNT(T13:Y13)=6,ROUND(SUM(T13:Y13),2),"")</f>
        <v/>
      </c>
      <c r="AI13" s="7">
        <f>IF(COUNT(Z13:AE13)=6,ROUND(SUM(Z13:AE13),2),"")</f>
        <v/>
      </c>
      <c r="AJ13" s="33">
        <f>IF(COUNT(AF13:AI13)=4,ROUND(SUM(AF13:AI13),2),"")</f>
        <v/>
      </c>
      <c r="AK13" s="7">
        <f>IF(AF13="","",IF(AF13&gt;=2.0,"Đạt","Chưa đạt"))</f>
        <v/>
      </c>
      <c r="AL13" s="7">
        <f>IF(AG13="","",IF(AG13&gt;=1.0,"Đạt","Chưa đạt"))</f>
        <v/>
      </c>
      <c r="AM13" s="7">
        <f>IF(AH13="","",IF(AH13&gt;=1.0,"Đạt","Chưa đạt"))</f>
        <v/>
      </c>
      <c r="AN13" s="7">
        <f>IF(AI13="","",IF(AI13&gt;=1.0,"Đạt","Chưa đạt"))</f>
        <v/>
      </c>
      <c r="AO13" s="32" t="n"/>
    </row>
    <row r="14">
      <c r="A14" s="7" t="n">
        <v>11</v>
      </c>
      <c r="B14" s="32" t="n"/>
      <c r="C14" s="32" t="n"/>
      <c r="D14" s="32" t="n"/>
      <c r="E14" s="32" t="n"/>
      <c r="F14" s="32" t="n"/>
      <c r="G14" s="32" t="n"/>
      <c r="H14" s="32" t="n"/>
      <c r="I14" s="32" t="n"/>
      <c r="J14" s="32" t="n"/>
      <c r="K14" s="32" t="n"/>
      <c r="L14" s="32" t="n"/>
      <c r="M14" s="32" t="n"/>
      <c r="N14" s="32" t="n"/>
      <c r="O14" s="32" t="n"/>
      <c r="P14" s="32" t="n"/>
      <c r="Q14" s="32" t="n"/>
      <c r="R14" s="32" t="n"/>
      <c r="S14" s="32" t="n"/>
      <c r="T14" s="32" t="n"/>
      <c r="U14" s="32" t="n"/>
      <c r="V14" s="32" t="n"/>
      <c r="W14" s="32" t="n"/>
      <c r="X14" s="32" t="n"/>
      <c r="Y14" s="32" t="n"/>
      <c r="Z14" s="32" t="n"/>
      <c r="AA14" s="32" t="n"/>
      <c r="AB14" s="32" t="n"/>
      <c r="AC14" s="32" t="n"/>
      <c r="AD14" s="32" t="n"/>
      <c r="AE14" s="32" t="n"/>
      <c r="AF14" s="7">
        <f>IF(COUNT(E14:M14)=9,ROUND(SUM(E14:M14),2),"")</f>
        <v/>
      </c>
      <c r="AG14" s="7">
        <f>IF(COUNT(N14:S14)=6,ROUND(SUM(N14:S14),2),"")</f>
        <v/>
      </c>
      <c r="AH14" s="7">
        <f>IF(COUNT(T14:Y14)=6,ROUND(SUM(T14:Y14),2),"")</f>
        <v/>
      </c>
      <c r="AI14" s="7">
        <f>IF(COUNT(Z14:AE14)=6,ROUND(SUM(Z14:AE14),2),"")</f>
        <v/>
      </c>
      <c r="AJ14" s="33">
        <f>IF(COUNT(AF14:AI14)=4,ROUND(SUM(AF14:AI14),2),"")</f>
        <v/>
      </c>
      <c r="AK14" s="7">
        <f>IF(AF14="","",IF(AF14&gt;=2.0,"Đạt","Chưa đạt"))</f>
        <v/>
      </c>
      <c r="AL14" s="7">
        <f>IF(AG14="","",IF(AG14&gt;=1.0,"Đạt","Chưa đạt"))</f>
        <v/>
      </c>
      <c r="AM14" s="7">
        <f>IF(AH14="","",IF(AH14&gt;=1.0,"Đạt","Chưa đạt"))</f>
        <v/>
      </c>
      <c r="AN14" s="7">
        <f>IF(AI14="","",IF(AI14&gt;=1.0,"Đạt","Chưa đạt"))</f>
        <v/>
      </c>
      <c r="AO14" s="32" t="n"/>
    </row>
    <row r="15">
      <c r="A15" s="7" t="n">
        <v>12</v>
      </c>
      <c r="B15" s="32" t="n"/>
      <c r="C15" s="32" t="n"/>
      <c r="D15" s="32" t="n"/>
      <c r="E15" s="32" t="n"/>
      <c r="F15" s="32" t="n"/>
      <c r="G15" s="32" t="n"/>
      <c r="H15" s="32" t="n"/>
      <c r="I15" s="32" t="n"/>
      <c r="J15" s="32" t="n"/>
      <c r="K15" s="32" t="n"/>
      <c r="L15" s="32" t="n"/>
      <c r="M15" s="32" t="n"/>
      <c r="N15" s="32" t="n"/>
      <c r="O15" s="32" t="n"/>
      <c r="P15" s="32" t="n"/>
      <c r="Q15" s="32" t="n"/>
      <c r="R15" s="32" t="n"/>
      <c r="S15" s="32" t="n"/>
      <c r="T15" s="32" t="n"/>
      <c r="U15" s="32" t="n"/>
      <c r="V15" s="32" t="n"/>
      <c r="W15" s="32" t="n"/>
      <c r="X15" s="32" t="n"/>
      <c r="Y15" s="32" t="n"/>
      <c r="Z15" s="32" t="n"/>
      <c r="AA15" s="32" t="n"/>
      <c r="AB15" s="32" t="n"/>
      <c r="AC15" s="32" t="n"/>
      <c r="AD15" s="32" t="n"/>
      <c r="AE15" s="32" t="n"/>
      <c r="AF15" s="7">
        <f>IF(COUNT(E15:M15)=9,ROUND(SUM(E15:M15),2),"")</f>
        <v/>
      </c>
      <c r="AG15" s="7">
        <f>IF(COUNT(N15:S15)=6,ROUND(SUM(N15:S15),2),"")</f>
        <v/>
      </c>
      <c r="AH15" s="7">
        <f>IF(COUNT(T15:Y15)=6,ROUND(SUM(T15:Y15),2),"")</f>
        <v/>
      </c>
      <c r="AI15" s="7">
        <f>IF(COUNT(Z15:AE15)=6,ROUND(SUM(Z15:AE15),2),"")</f>
        <v/>
      </c>
      <c r="AJ15" s="33">
        <f>IF(COUNT(AF15:AI15)=4,ROUND(SUM(AF15:AI15),2),"")</f>
        <v/>
      </c>
      <c r="AK15" s="7">
        <f>IF(AF15="","",IF(AF15&gt;=2.0,"Đạt","Chưa đạt"))</f>
        <v/>
      </c>
      <c r="AL15" s="7">
        <f>IF(AG15="","",IF(AG15&gt;=1.0,"Đạt","Chưa đạt"))</f>
        <v/>
      </c>
      <c r="AM15" s="7">
        <f>IF(AH15="","",IF(AH15&gt;=1.0,"Đạt","Chưa đạt"))</f>
        <v/>
      </c>
      <c r="AN15" s="7">
        <f>IF(AI15="","",IF(AI15&gt;=1.0,"Đạt","Chưa đạt"))</f>
        <v/>
      </c>
      <c r="AO15" s="32" t="n"/>
    </row>
    <row r="16">
      <c r="A16" s="7" t="n">
        <v>13</v>
      </c>
      <c r="B16" s="32" t="n"/>
      <c r="C16" s="32" t="n"/>
      <c r="D16" s="32" t="n"/>
      <c r="E16" s="32" t="n"/>
      <c r="F16" s="32" t="n"/>
      <c r="G16" s="32" t="n"/>
      <c r="H16" s="32" t="n"/>
      <c r="I16" s="32" t="n"/>
      <c r="J16" s="32" t="n"/>
      <c r="K16" s="32" t="n"/>
      <c r="L16" s="32" t="n"/>
      <c r="M16" s="32" t="n"/>
      <c r="N16" s="32" t="n"/>
      <c r="O16" s="32" t="n"/>
      <c r="P16" s="32" t="n"/>
      <c r="Q16" s="32" t="n"/>
      <c r="R16" s="32" t="n"/>
      <c r="S16" s="32" t="n"/>
      <c r="T16" s="32" t="n"/>
      <c r="U16" s="32" t="n"/>
      <c r="V16" s="32" t="n"/>
      <c r="W16" s="32" t="n"/>
      <c r="X16" s="32" t="n"/>
      <c r="Y16" s="32" t="n"/>
      <c r="Z16" s="32" t="n"/>
      <c r="AA16" s="32" t="n"/>
      <c r="AB16" s="32" t="n"/>
      <c r="AC16" s="32" t="n"/>
      <c r="AD16" s="32" t="n"/>
      <c r="AE16" s="32" t="n"/>
      <c r="AF16" s="7">
        <f>IF(COUNT(E16:M16)=9,ROUND(SUM(E16:M16),2),"")</f>
        <v/>
      </c>
      <c r="AG16" s="7">
        <f>IF(COUNT(N16:S16)=6,ROUND(SUM(N16:S16),2),"")</f>
        <v/>
      </c>
      <c r="AH16" s="7">
        <f>IF(COUNT(T16:Y16)=6,ROUND(SUM(T16:Y16),2),"")</f>
        <v/>
      </c>
      <c r="AI16" s="7">
        <f>IF(COUNT(Z16:AE16)=6,ROUND(SUM(Z16:AE16),2),"")</f>
        <v/>
      </c>
      <c r="AJ16" s="33">
        <f>IF(COUNT(AF16:AI16)=4,ROUND(SUM(AF16:AI16),2),"")</f>
        <v/>
      </c>
      <c r="AK16" s="7">
        <f>IF(AF16="","",IF(AF16&gt;=2.0,"Đạt","Chưa đạt"))</f>
        <v/>
      </c>
      <c r="AL16" s="7">
        <f>IF(AG16="","",IF(AG16&gt;=1.0,"Đạt","Chưa đạt"))</f>
        <v/>
      </c>
      <c r="AM16" s="7">
        <f>IF(AH16="","",IF(AH16&gt;=1.0,"Đạt","Chưa đạt"))</f>
        <v/>
      </c>
      <c r="AN16" s="7">
        <f>IF(AI16="","",IF(AI16&gt;=1.0,"Đạt","Chưa đạt"))</f>
        <v/>
      </c>
      <c r="AO16" s="32" t="n"/>
    </row>
    <row r="17">
      <c r="A17" s="7" t="n">
        <v>14</v>
      </c>
      <c r="B17" s="32" t="n"/>
      <c r="C17" s="32" t="n"/>
      <c r="D17" s="32" t="n"/>
      <c r="E17" s="32" t="n"/>
      <c r="F17" s="32" t="n"/>
      <c r="G17" s="32" t="n"/>
      <c r="H17" s="32" t="n"/>
      <c r="I17" s="32" t="n"/>
      <c r="J17" s="32" t="n"/>
      <c r="K17" s="32" t="n"/>
      <c r="L17" s="32" t="n"/>
      <c r="M17" s="32" t="n"/>
      <c r="N17" s="32" t="n"/>
      <c r="O17" s="32" t="n"/>
      <c r="P17" s="32" t="n"/>
      <c r="Q17" s="32" t="n"/>
      <c r="R17" s="32" t="n"/>
      <c r="S17" s="32" t="n"/>
      <c r="T17" s="32" t="n"/>
      <c r="U17" s="32" t="n"/>
      <c r="V17" s="32" t="n"/>
      <c r="W17" s="32" t="n"/>
      <c r="X17" s="32" t="n"/>
      <c r="Y17" s="32" t="n"/>
      <c r="Z17" s="32" t="n"/>
      <c r="AA17" s="32" t="n"/>
      <c r="AB17" s="32" t="n"/>
      <c r="AC17" s="32" t="n"/>
      <c r="AD17" s="32" t="n"/>
      <c r="AE17" s="32" t="n"/>
      <c r="AF17" s="7">
        <f>IF(COUNT(E17:M17)=9,ROUND(SUM(E17:M17),2),"")</f>
        <v/>
      </c>
      <c r="AG17" s="7">
        <f>IF(COUNT(N17:S17)=6,ROUND(SUM(N17:S17),2),"")</f>
        <v/>
      </c>
      <c r="AH17" s="7">
        <f>IF(COUNT(T17:Y17)=6,ROUND(SUM(T17:Y17),2),"")</f>
        <v/>
      </c>
      <c r="AI17" s="7">
        <f>IF(COUNT(Z17:AE17)=6,ROUND(SUM(Z17:AE17),2),"")</f>
        <v/>
      </c>
      <c r="AJ17" s="33">
        <f>IF(COUNT(AF17:AI17)=4,ROUND(SUM(AF17:AI17),2),"")</f>
        <v/>
      </c>
      <c r="AK17" s="7">
        <f>IF(AF17="","",IF(AF17&gt;=2.0,"Đạt","Chưa đạt"))</f>
        <v/>
      </c>
      <c r="AL17" s="7">
        <f>IF(AG17="","",IF(AG17&gt;=1.0,"Đạt","Chưa đạt"))</f>
        <v/>
      </c>
      <c r="AM17" s="7">
        <f>IF(AH17="","",IF(AH17&gt;=1.0,"Đạt","Chưa đạt"))</f>
        <v/>
      </c>
      <c r="AN17" s="7">
        <f>IF(AI17="","",IF(AI17&gt;=1.0,"Đạt","Chưa đạt"))</f>
        <v/>
      </c>
      <c r="AO17" s="32" t="n"/>
    </row>
    <row r="18">
      <c r="A18" s="7" t="n">
        <v>15</v>
      </c>
      <c r="B18" s="32" t="n"/>
      <c r="C18" s="32" t="n"/>
      <c r="D18" s="32" t="n"/>
      <c r="E18" s="32" t="n"/>
      <c r="F18" s="32" t="n"/>
      <c r="G18" s="32" t="n"/>
      <c r="H18" s="32" t="n"/>
      <c r="I18" s="32" t="n"/>
      <c r="J18" s="32" t="n"/>
      <c r="K18" s="32" t="n"/>
      <c r="L18" s="32" t="n"/>
      <c r="M18" s="32" t="n"/>
      <c r="N18" s="32" t="n"/>
      <c r="O18" s="32" t="n"/>
      <c r="P18" s="32" t="n"/>
      <c r="Q18" s="32" t="n"/>
      <c r="R18" s="32" t="n"/>
      <c r="S18" s="32" t="n"/>
      <c r="T18" s="32" t="n"/>
      <c r="U18" s="32" t="n"/>
      <c r="V18" s="32" t="n"/>
      <c r="W18" s="32" t="n"/>
      <c r="X18" s="32" t="n"/>
      <c r="Y18" s="32" t="n"/>
      <c r="Z18" s="32" t="n"/>
      <c r="AA18" s="32" t="n"/>
      <c r="AB18" s="32" t="n"/>
      <c r="AC18" s="32" t="n"/>
      <c r="AD18" s="32" t="n"/>
      <c r="AE18" s="32" t="n"/>
      <c r="AF18" s="7">
        <f>IF(COUNT(E18:M18)=9,ROUND(SUM(E18:M18),2),"")</f>
        <v/>
      </c>
      <c r="AG18" s="7">
        <f>IF(COUNT(N18:S18)=6,ROUND(SUM(N18:S18),2),"")</f>
        <v/>
      </c>
      <c r="AH18" s="7">
        <f>IF(COUNT(T18:Y18)=6,ROUND(SUM(T18:Y18),2),"")</f>
        <v/>
      </c>
      <c r="AI18" s="7">
        <f>IF(COUNT(Z18:AE18)=6,ROUND(SUM(Z18:AE18),2),"")</f>
        <v/>
      </c>
      <c r="AJ18" s="33">
        <f>IF(COUNT(AF18:AI18)=4,ROUND(SUM(AF18:AI18),2),"")</f>
        <v/>
      </c>
      <c r="AK18" s="7">
        <f>IF(AF18="","",IF(AF18&gt;=2.0,"Đạt","Chưa đạt"))</f>
        <v/>
      </c>
      <c r="AL18" s="7">
        <f>IF(AG18="","",IF(AG18&gt;=1.0,"Đạt","Chưa đạt"))</f>
        <v/>
      </c>
      <c r="AM18" s="7">
        <f>IF(AH18="","",IF(AH18&gt;=1.0,"Đạt","Chưa đạt"))</f>
        <v/>
      </c>
      <c r="AN18" s="7">
        <f>IF(AI18="","",IF(AI18&gt;=1.0,"Đạt","Chưa đạt"))</f>
        <v/>
      </c>
      <c r="AO18" s="32" t="n"/>
    </row>
    <row r="19">
      <c r="A19" s="7" t="n">
        <v>16</v>
      </c>
      <c r="B19" s="32" t="n"/>
      <c r="C19" s="32" t="n"/>
      <c r="D19" s="32" t="n"/>
      <c r="E19" s="32" t="n"/>
      <c r="F19" s="32" t="n"/>
      <c r="G19" s="32" t="n"/>
      <c r="H19" s="32" t="n"/>
      <c r="I19" s="32" t="n"/>
      <c r="J19" s="32" t="n"/>
      <c r="K19" s="32" t="n"/>
      <c r="L19" s="32" t="n"/>
      <c r="M19" s="32" t="n"/>
      <c r="N19" s="32" t="n"/>
      <c r="O19" s="32" t="n"/>
      <c r="P19" s="32" t="n"/>
      <c r="Q19" s="32" t="n"/>
      <c r="R19" s="32" t="n"/>
      <c r="S19" s="32" t="n"/>
      <c r="T19" s="32" t="n"/>
      <c r="U19" s="32" t="n"/>
      <c r="V19" s="32" t="n"/>
      <c r="W19" s="32" t="n"/>
      <c r="X19" s="32" t="n"/>
      <c r="Y19" s="32" t="n"/>
      <c r="Z19" s="32" t="n"/>
      <c r="AA19" s="32" t="n"/>
      <c r="AB19" s="32" t="n"/>
      <c r="AC19" s="32" t="n"/>
      <c r="AD19" s="32" t="n"/>
      <c r="AE19" s="32" t="n"/>
      <c r="AF19" s="7">
        <f>IF(COUNT(E19:M19)=9,ROUND(SUM(E19:M19),2),"")</f>
        <v/>
      </c>
      <c r="AG19" s="7">
        <f>IF(COUNT(N19:S19)=6,ROUND(SUM(N19:S19),2),"")</f>
        <v/>
      </c>
      <c r="AH19" s="7">
        <f>IF(COUNT(T19:Y19)=6,ROUND(SUM(T19:Y19),2),"")</f>
        <v/>
      </c>
      <c r="AI19" s="7">
        <f>IF(COUNT(Z19:AE19)=6,ROUND(SUM(Z19:AE19),2),"")</f>
        <v/>
      </c>
      <c r="AJ19" s="33">
        <f>IF(COUNT(AF19:AI19)=4,ROUND(SUM(AF19:AI19),2),"")</f>
        <v/>
      </c>
      <c r="AK19" s="7">
        <f>IF(AF19="","",IF(AF19&gt;=2.0,"Đạt","Chưa đạt"))</f>
        <v/>
      </c>
      <c r="AL19" s="7">
        <f>IF(AG19="","",IF(AG19&gt;=1.0,"Đạt","Chưa đạt"))</f>
        <v/>
      </c>
      <c r="AM19" s="7">
        <f>IF(AH19="","",IF(AH19&gt;=1.0,"Đạt","Chưa đạt"))</f>
        <v/>
      </c>
      <c r="AN19" s="7">
        <f>IF(AI19="","",IF(AI19&gt;=1.0,"Đạt","Chưa đạt"))</f>
        <v/>
      </c>
      <c r="AO19" s="32" t="n"/>
    </row>
    <row r="20">
      <c r="A20" s="7" t="n">
        <v>17</v>
      </c>
      <c r="B20" s="32" t="n"/>
      <c r="C20" s="32" t="n"/>
      <c r="D20" s="32" t="n"/>
      <c r="E20" s="32" t="n"/>
      <c r="F20" s="32" t="n"/>
      <c r="G20" s="32" t="n"/>
      <c r="H20" s="32" t="n"/>
      <c r="I20" s="32" t="n"/>
      <c r="J20" s="32" t="n"/>
      <c r="K20" s="32" t="n"/>
      <c r="L20" s="32" t="n"/>
      <c r="M20" s="32" t="n"/>
      <c r="N20" s="32" t="n"/>
      <c r="O20" s="32" t="n"/>
      <c r="P20" s="32" t="n"/>
      <c r="Q20" s="32" t="n"/>
      <c r="R20" s="32" t="n"/>
      <c r="S20" s="32" t="n"/>
      <c r="T20" s="32" t="n"/>
      <c r="U20" s="32" t="n"/>
      <c r="V20" s="32" t="n"/>
      <c r="W20" s="32" t="n"/>
      <c r="X20" s="32" t="n"/>
      <c r="Y20" s="32" t="n"/>
      <c r="Z20" s="32" t="n"/>
      <c r="AA20" s="32" t="n"/>
      <c r="AB20" s="32" t="n"/>
      <c r="AC20" s="32" t="n"/>
      <c r="AD20" s="32" t="n"/>
      <c r="AE20" s="32" t="n"/>
      <c r="AF20" s="7">
        <f>IF(COUNT(E20:M20)=9,ROUND(SUM(E20:M20),2),"")</f>
        <v/>
      </c>
      <c r="AG20" s="7">
        <f>IF(COUNT(N20:S20)=6,ROUND(SUM(N20:S20),2),"")</f>
        <v/>
      </c>
      <c r="AH20" s="7">
        <f>IF(COUNT(T20:Y20)=6,ROUND(SUM(T20:Y20),2),"")</f>
        <v/>
      </c>
      <c r="AI20" s="7">
        <f>IF(COUNT(Z20:AE20)=6,ROUND(SUM(Z20:AE20),2),"")</f>
        <v/>
      </c>
      <c r="AJ20" s="33">
        <f>IF(COUNT(AF20:AI20)=4,ROUND(SUM(AF20:AI20),2),"")</f>
        <v/>
      </c>
      <c r="AK20" s="7">
        <f>IF(AF20="","",IF(AF20&gt;=2.0,"Đạt","Chưa đạt"))</f>
        <v/>
      </c>
      <c r="AL20" s="7">
        <f>IF(AG20="","",IF(AG20&gt;=1.0,"Đạt","Chưa đạt"))</f>
        <v/>
      </c>
      <c r="AM20" s="7">
        <f>IF(AH20="","",IF(AH20&gt;=1.0,"Đạt","Chưa đạt"))</f>
        <v/>
      </c>
      <c r="AN20" s="7">
        <f>IF(AI20="","",IF(AI20&gt;=1.0,"Đạt","Chưa đạt"))</f>
        <v/>
      </c>
      <c r="AO20" s="32" t="n"/>
    </row>
    <row r="21">
      <c r="A21" s="7" t="n">
        <v>18</v>
      </c>
      <c r="B21" s="32" t="n"/>
      <c r="C21" s="32" t="n"/>
      <c r="D21" s="32" t="n"/>
      <c r="E21" s="32" t="n"/>
      <c r="F21" s="32" t="n"/>
      <c r="G21" s="32" t="n"/>
      <c r="H21" s="32" t="n"/>
      <c r="I21" s="32" t="n"/>
      <c r="J21" s="32" t="n"/>
      <c r="K21" s="32" t="n"/>
      <c r="L21" s="32" t="n"/>
      <c r="M21" s="32" t="n"/>
      <c r="N21" s="32" t="n"/>
      <c r="O21" s="32" t="n"/>
      <c r="P21" s="32" t="n"/>
      <c r="Q21" s="32" t="n"/>
      <c r="R21" s="32" t="n"/>
      <c r="S21" s="32" t="n"/>
      <c r="T21" s="32" t="n"/>
      <c r="U21" s="32" t="n"/>
      <c r="V21" s="32" t="n"/>
      <c r="W21" s="32" t="n"/>
      <c r="X21" s="32" t="n"/>
      <c r="Y21" s="32" t="n"/>
      <c r="Z21" s="32" t="n"/>
      <c r="AA21" s="32" t="n"/>
      <c r="AB21" s="32" t="n"/>
      <c r="AC21" s="32" t="n"/>
      <c r="AD21" s="32" t="n"/>
      <c r="AE21" s="32" t="n"/>
      <c r="AF21" s="7">
        <f>IF(COUNT(E21:M21)=9,ROUND(SUM(E21:M21),2),"")</f>
        <v/>
      </c>
      <c r="AG21" s="7">
        <f>IF(COUNT(N21:S21)=6,ROUND(SUM(N21:S21),2),"")</f>
        <v/>
      </c>
      <c r="AH21" s="7">
        <f>IF(COUNT(T21:Y21)=6,ROUND(SUM(T21:Y21),2),"")</f>
        <v/>
      </c>
      <c r="AI21" s="7">
        <f>IF(COUNT(Z21:AE21)=6,ROUND(SUM(Z21:AE21),2),"")</f>
        <v/>
      </c>
      <c r="AJ21" s="33">
        <f>IF(COUNT(AF21:AI21)=4,ROUND(SUM(AF21:AI21),2),"")</f>
        <v/>
      </c>
      <c r="AK21" s="7">
        <f>IF(AF21="","",IF(AF21&gt;=2.0,"Đạt","Chưa đạt"))</f>
        <v/>
      </c>
      <c r="AL21" s="7">
        <f>IF(AG21="","",IF(AG21&gt;=1.0,"Đạt","Chưa đạt"))</f>
        <v/>
      </c>
      <c r="AM21" s="7">
        <f>IF(AH21="","",IF(AH21&gt;=1.0,"Đạt","Chưa đạt"))</f>
        <v/>
      </c>
      <c r="AN21" s="7">
        <f>IF(AI21="","",IF(AI21&gt;=1.0,"Đạt","Chưa đạt"))</f>
        <v/>
      </c>
      <c r="AO21" s="32" t="n"/>
    </row>
    <row r="22">
      <c r="A22" s="7" t="n">
        <v>19</v>
      </c>
      <c r="B22" s="32" t="n"/>
      <c r="C22" s="32" t="n"/>
      <c r="D22" s="32" t="n"/>
      <c r="E22" s="32" t="n"/>
      <c r="F22" s="32" t="n"/>
      <c r="G22" s="32" t="n"/>
      <c r="H22" s="32" t="n"/>
      <c r="I22" s="32" t="n"/>
      <c r="J22" s="32" t="n"/>
      <c r="K22" s="32" t="n"/>
      <c r="L22" s="32" t="n"/>
      <c r="M22" s="32" t="n"/>
      <c r="N22" s="32" t="n"/>
      <c r="O22" s="32" t="n"/>
      <c r="P22" s="32" t="n"/>
      <c r="Q22" s="32" t="n"/>
      <c r="R22" s="32" t="n"/>
      <c r="S22" s="32" t="n"/>
      <c r="T22" s="32" t="n"/>
      <c r="U22" s="32" t="n"/>
      <c r="V22" s="32" t="n"/>
      <c r="W22" s="32" t="n"/>
      <c r="X22" s="32" t="n"/>
      <c r="Y22" s="32" t="n"/>
      <c r="Z22" s="32" t="n"/>
      <c r="AA22" s="32" t="n"/>
      <c r="AB22" s="32" t="n"/>
      <c r="AC22" s="32" t="n"/>
      <c r="AD22" s="32" t="n"/>
      <c r="AE22" s="32" t="n"/>
      <c r="AF22" s="7">
        <f>IF(COUNT(E22:M22)=9,ROUND(SUM(E22:M22),2),"")</f>
        <v/>
      </c>
      <c r="AG22" s="7">
        <f>IF(COUNT(N22:S22)=6,ROUND(SUM(N22:S22),2),"")</f>
        <v/>
      </c>
      <c r="AH22" s="7">
        <f>IF(COUNT(T22:Y22)=6,ROUND(SUM(T22:Y22),2),"")</f>
        <v/>
      </c>
      <c r="AI22" s="7">
        <f>IF(COUNT(Z22:AE22)=6,ROUND(SUM(Z22:AE22),2),"")</f>
        <v/>
      </c>
      <c r="AJ22" s="33">
        <f>IF(COUNT(AF22:AI22)=4,ROUND(SUM(AF22:AI22),2),"")</f>
        <v/>
      </c>
      <c r="AK22" s="7">
        <f>IF(AF22="","",IF(AF22&gt;=2.0,"Đạt","Chưa đạt"))</f>
        <v/>
      </c>
      <c r="AL22" s="7">
        <f>IF(AG22="","",IF(AG22&gt;=1.0,"Đạt","Chưa đạt"))</f>
        <v/>
      </c>
      <c r="AM22" s="7">
        <f>IF(AH22="","",IF(AH22&gt;=1.0,"Đạt","Chưa đạt"))</f>
        <v/>
      </c>
      <c r="AN22" s="7">
        <f>IF(AI22="","",IF(AI22&gt;=1.0,"Đạt","Chưa đạt"))</f>
        <v/>
      </c>
      <c r="AO22" s="32" t="n"/>
    </row>
    <row r="23">
      <c r="A23" s="7" t="n">
        <v>20</v>
      </c>
      <c r="B23" s="32" t="n"/>
      <c r="C23" s="3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X23" s="32" t="n"/>
      <c r="Y23" s="32" t="n"/>
      <c r="Z23" s="32" t="n"/>
      <c r="AA23" s="32" t="n"/>
      <c r="AB23" s="32" t="n"/>
      <c r="AC23" s="32" t="n"/>
      <c r="AD23" s="32" t="n"/>
      <c r="AE23" s="32" t="n"/>
      <c r="AF23" s="7">
        <f>IF(COUNT(E23:M23)=9,ROUND(SUM(E23:M23),2),"")</f>
        <v/>
      </c>
      <c r="AG23" s="7">
        <f>IF(COUNT(N23:S23)=6,ROUND(SUM(N23:S23),2),"")</f>
        <v/>
      </c>
      <c r="AH23" s="7">
        <f>IF(COUNT(T23:Y23)=6,ROUND(SUM(T23:Y23),2),"")</f>
        <v/>
      </c>
      <c r="AI23" s="7">
        <f>IF(COUNT(Z23:AE23)=6,ROUND(SUM(Z23:AE23),2),"")</f>
        <v/>
      </c>
      <c r="AJ23" s="33">
        <f>IF(COUNT(AF23:AI23)=4,ROUND(SUM(AF23:AI23),2),"")</f>
        <v/>
      </c>
      <c r="AK23" s="7">
        <f>IF(AF23="","",IF(AF23&gt;=2.0,"Đạt","Chưa đạt"))</f>
        <v/>
      </c>
      <c r="AL23" s="7">
        <f>IF(AG23="","",IF(AG23&gt;=1.0,"Đạt","Chưa đạt"))</f>
        <v/>
      </c>
      <c r="AM23" s="7">
        <f>IF(AH23="","",IF(AH23&gt;=1.0,"Đạt","Chưa đạt"))</f>
        <v/>
      </c>
      <c r="AN23" s="7">
        <f>IF(AI23="","",IF(AI23&gt;=1.0,"Đạt","Chưa đạt"))</f>
        <v/>
      </c>
      <c r="AO23" s="32" t="n"/>
    </row>
    <row r="24">
      <c r="A24" s="7" t="n">
        <v>21</v>
      </c>
      <c r="B24" s="32" t="n"/>
      <c r="C24" s="32" t="n"/>
      <c r="D24" s="32" t="n"/>
      <c r="E24" s="32" t="n"/>
      <c r="F24" s="32" t="n"/>
      <c r="G24" s="32" t="n"/>
      <c r="H24" s="32" t="n"/>
      <c r="I24" s="32" t="n"/>
      <c r="J24" s="32" t="n"/>
      <c r="K24" s="32" t="n"/>
      <c r="L24" s="32" t="n"/>
      <c r="M24" s="32" t="n"/>
      <c r="N24" s="32" t="n"/>
      <c r="O24" s="32" t="n"/>
      <c r="P24" s="32" t="n"/>
      <c r="Q24" s="32" t="n"/>
      <c r="R24" s="32" t="n"/>
      <c r="S24" s="32" t="n"/>
      <c r="T24" s="32" t="n"/>
      <c r="U24" s="32" t="n"/>
      <c r="V24" s="32" t="n"/>
      <c r="W24" s="32" t="n"/>
      <c r="X24" s="32" t="n"/>
      <c r="Y24" s="32" t="n"/>
      <c r="Z24" s="32" t="n"/>
      <c r="AA24" s="32" t="n"/>
      <c r="AB24" s="32" t="n"/>
      <c r="AC24" s="32" t="n"/>
      <c r="AD24" s="32" t="n"/>
      <c r="AE24" s="32" t="n"/>
      <c r="AF24" s="7">
        <f>IF(COUNT(E24:M24)=9,ROUND(SUM(E24:M24),2),"")</f>
        <v/>
      </c>
      <c r="AG24" s="7">
        <f>IF(COUNT(N24:S24)=6,ROUND(SUM(N24:S24),2),"")</f>
        <v/>
      </c>
      <c r="AH24" s="7">
        <f>IF(COUNT(T24:Y24)=6,ROUND(SUM(T24:Y24),2),"")</f>
        <v/>
      </c>
      <c r="AI24" s="7">
        <f>IF(COUNT(Z24:AE24)=6,ROUND(SUM(Z24:AE24),2),"")</f>
        <v/>
      </c>
      <c r="AJ24" s="33">
        <f>IF(COUNT(AF24:AI24)=4,ROUND(SUM(AF24:AI24),2),"")</f>
        <v/>
      </c>
      <c r="AK24" s="7">
        <f>IF(AF24="","",IF(AF24&gt;=2.0,"Đạt","Chưa đạt"))</f>
        <v/>
      </c>
      <c r="AL24" s="7">
        <f>IF(AG24="","",IF(AG24&gt;=1.0,"Đạt","Chưa đạt"))</f>
        <v/>
      </c>
      <c r="AM24" s="7">
        <f>IF(AH24="","",IF(AH24&gt;=1.0,"Đạt","Chưa đạt"))</f>
        <v/>
      </c>
      <c r="AN24" s="7">
        <f>IF(AI24="","",IF(AI24&gt;=1.0,"Đạt","Chưa đạt"))</f>
        <v/>
      </c>
      <c r="AO24" s="32" t="n"/>
    </row>
    <row r="25">
      <c r="A25" s="7" t="n">
        <v>22</v>
      </c>
      <c r="B25" s="32" t="n"/>
      <c r="C25" s="32" t="n"/>
      <c r="D25" s="32" t="n"/>
      <c r="E25" s="32" t="n"/>
      <c r="F25" s="32" t="n"/>
      <c r="G25" s="32" t="n"/>
      <c r="H25" s="32" t="n"/>
      <c r="I25" s="32" t="n"/>
      <c r="J25" s="32" t="n"/>
      <c r="K25" s="32" t="n"/>
      <c r="L25" s="32" t="n"/>
      <c r="M25" s="32" t="n"/>
      <c r="N25" s="32" t="n"/>
      <c r="O25" s="32" t="n"/>
      <c r="P25" s="32" t="n"/>
      <c r="Q25" s="32" t="n"/>
      <c r="R25" s="32" t="n"/>
      <c r="S25" s="32" t="n"/>
      <c r="T25" s="32" t="n"/>
      <c r="U25" s="32" t="n"/>
      <c r="V25" s="32" t="n"/>
      <c r="W25" s="32" t="n"/>
      <c r="X25" s="32" t="n"/>
      <c r="Y25" s="32" t="n"/>
      <c r="Z25" s="32" t="n"/>
      <c r="AA25" s="32" t="n"/>
      <c r="AB25" s="32" t="n"/>
      <c r="AC25" s="32" t="n"/>
      <c r="AD25" s="32" t="n"/>
      <c r="AE25" s="32" t="n"/>
      <c r="AF25" s="7">
        <f>IF(COUNT(E25:M25)=9,ROUND(SUM(E25:M25),2),"")</f>
        <v/>
      </c>
      <c r="AG25" s="7">
        <f>IF(COUNT(N25:S25)=6,ROUND(SUM(N25:S25),2),"")</f>
        <v/>
      </c>
      <c r="AH25" s="7">
        <f>IF(COUNT(T25:Y25)=6,ROUND(SUM(T25:Y25),2),"")</f>
        <v/>
      </c>
      <c r="AI25" s="7">
        <f>IF(COUNT(Z25:AE25)=6,ROUND(SUM(Z25:AE25),2),"")</f>
        <v/>
      </c>
      <c r="AJ25" s="33">
        <f>IF(COUNT(AF25:AI25)=4,ROUND(SUM(AF25:AI25),2),"")</f>
        <v/>
      </c>
      <c r="AK25" s="7">
        <f>IF(AF25="","",IF(AF25&gt;=2.0,"Đạt","Chưa đạt"))</f>
        <v/>
      </c>
      <c r="AL25" s="7">
        <f>IF(AG25="","",IF(AG25&gt;=1.0,"Đạt","Chưa đạt"))</f>
        <v/>
      </c>
      <c r="AM25" s="7">
        <f>IF(AH25="","",IF(AH25&gt;=1.0,"Đạt","Chưa đạt"))</f>
        <v/>
      </c>
      <c r="AN25" s="7">
        <f>IF(AI25="","",IF(AI25&gt;=1.0,"Đạt","Chưa đạt"))</f>
        <v/>
      </c>
      <c r="AO25" s="32" t="n"/>
    </row>
    <row r="26">
      <c r="A26" s="7" t="n">
        <v>23</v>
      </c>
      <c r="B26" s="32" t="n"/>
      <c r="C26" s="32" t="n"/>
      <c r="D26" s="32" t="n"/>
      <c r="E26" s="32" t="n"/>
      <c r="F26" s="32" t="n"/>
      <c r="G26" s="32" t="n"/>
      <c r="H26" s="32" t="n"/>
      <c r="I26" s="32" t="n"/>
      <c r="J26" s="32" t="n"/>
      <c r="K26" s="32" t="n"/>
      <c r="L26" s="32" t="n"/>
      <c r="M26" s="32" t="n"/>
      <c r="N26" s="32" t="n"/>
      <c r="O26" s="32" t="n"/>
      <c r="P26" s="32" t="n"/>
      <c r="Q26" s="32" t="n"/>
      <c r="R26" s="32" t="n"/>
      <c r="S26" s="32" t="n"/>
      <c r="T26" s="32" t="n"/>
      <c r="U26" s="32" t="n"/>
      <c r="V26" s="32" t="n"/>
      <c r="W26" s="32" t="n"/>
      <c r="X26" s="32" t="n"/>
      <c r="Y26" s="32" t="n"/>
      <c r="Z26" s="32" t="n"/>
      <c r="AA26" s="32" t="n"/>
      <c r="AB26" s="32" t="n"/>
      <c r="AC26" s="32" t="n"/>
      <c r="AD26" s="32" t="n"/>
      <c r="AE26" s="32" t="n"/>
      <c r="AF26" s="7">
        <f>IF(COUNT(E26:M26)=9,ROUND(SUM(E26:M26),2),"")</f>
        <v/>
      </c>
      <c r="AG26" s="7">
        <f>IF(COUNT(N26:S26)=6,ROUND(SUM(N26:S26),2),"")</f>
        <v/>
      </c>
      <c r="AH26" s="7">
        <f>IF(COUNT(T26:Y26)=6,ROUND(SUM(T26:Y26),2),"")</f>
        <v/>
      </c>
      <c r="AI26" s="7">
        <f>IF(COUNT(Z26:AE26)=6,ROUND(SUM(Z26:AE26),2),"")</f>
        <v/>
      </c>
      <c r="AJ26" s="33">
        <f>IF(COUNT(AF26:AI26)=4,ROUND(SUM(AF26:AI26),2),"")</f>
        <v/>
      </c>
      <c r="AK26" s="7">
        <f>IF(AF26="","",IF(AF26&gt;=2.0,"Đạt","Chưa đạt"))</f>
        <v/>
      </c>
      <c r="AL26" s="7">
        <f>IF(AG26="","",IF(AG26&gt;=1.0,"Đạt","Chưa đạt"))</f>
        <v/>
      </c>
      <c r="AM26" s="7">
        <f>IF(AH26="","",IF(AH26&gt;=1.0,"Đạt","Chưa đạt"))</f>
        <v/>
      </c>
      <c r="AN26" s="7">
        <f>IF(AI26="","",IF(AI26&gt;=1.0,"Đạt","Chưa đạt"))</f>
        <v/>
      </c>
      <c r="AO26" s="32" t="n"/>
    </row>
    <row r="27">
      <c r="A27" s="7" t="n">
        <v>24</v>
      </c>
      <c r="B27" s="32" t="n"/>
      <c r="C27" s="32" t="n"/>
      <c r="D27" s="32" t="n"/>
      <c r="E27" s="32" t="n"/>
      <c r="F27" s="32" t="n"/>
      <c r="G27" s="32" t="n"/>
      <c r="H27" s="32" t="n"/>
      <c r="I27" s="32" t="n"/>
      <c r="J27" s="32" t="n"/>
      <c r="K27" s="32" t="n"/>
      <c r="L27" s="32" t="n"/>
      <c r="M27" s="32" t="n"/>
      <c r="N27" s="32" t="n"/>
      <c r="O27" s="32" t="n"/>
      <c r="P27" s="32" t="n"/>
      <c r="Q27" s="32" t="n"/>
      <c r="R27" s="32" t="n"/>
      <c r="S27" s="32" t="n"/>
      <c r="T27" s="32" t="n"/>
      <c r="U27" s="32" t="n"/>
      <c r="V27" s="32" t="n"/>
      <c r="W27" s="32" t="n"/>
      <c r="X27" s="32" t="n"/>
      <c r="Y27" s="32" t="n"/>
      <c r="Z27" s="32" t="n"/>
      <c r="AA27" s="32" t="n"/>
      <c r="AB27" s="32" t="n"/>
      <c r="AC27" s="32" t="n"/>
      <c r="AD27" s="32" t="n"/>
      <c r="AE27" s="32" t="n"/>
      <c r="AF27" s="7">
        <f>IF(COUNT(E27:M27)=9,ROUND(SUM(E27:M27),2),"")</f>
        <v/>
      </c>
      <c r="AG27" s="7">
        <f>IF(COUNT(N27:S27)=6,ROUND(SUM(N27:S27),2),"")</f>
        <v/>
      </c>
      <c r="AH27" s="7">
        <f>IF(COUNT(T27:Y27)=6,ROUND(SUM(T27:Y27),2),"")</f>
        <v/>
      </c>
      <c r="AI27" s="7">
        <f>IF(COUNT(Z27:AE27)=6,ROUND(SUM(Z27:AE27),2),"")</f>
        <v/>
      </c>
      <c r="AJ27" s="33">
        <f>IF(COUNT(AF27:AI27)=4,ROUND(SUM(AF27:AI27),2),"")</f>
        <v/>
      </c>
      <c r="AK27" s="7">
        <f>IF(AF27="","",IF(AF27&gt;=2.0,"Đạt","Chưa đạt"))</f>
        <v/>
      </c>
      <c r="AL27" s="7">
        <f>IF(AG27="","",IF(AG27&gt;=1.0,"Đạt","Chưa đạt"))</f>
        <v/>
      </c>
      <c r="AM27" s="7">
        <f>IF(AH27="","",IF(AH27&gt;=1.0,"Đạt","Chưa đạt"))</f>
        <v/>
      </c>
      <c r="AN27" s="7">
        <f>IF(AI27="","",IF(AI27&gt;=1.0,"Đạt","Chưa đạt"))</f>
        <v/>
      </c>
      <c r="AO27" s="32" t="n"/>
    </row>
    <row r="28">
      <c r="A28" s="7" t="n">
        <v>25</v>
      </c>
      <c r="B28" s="32" t="n"/>
      <c r="C28" s="32" t="n"/>
      <c r="D28" s="32" t="n"/>
      <c r="E28" s="32" t="n"/>
      <c r="F28" s="32" t="n"/>
      <c r="G28" s="32" t="n"/>
      <c r="H28" s="32" t="n"/>
      <c r="I28" s="32" t="n"/>
      <c r="J28" s="32" t="n"/>
      <c r="K28" s="32" t="n"/>
      <c r="L28" s="32" t="n"/>
      <c r="M28" s="32" t="n"/>
      <c r="N28" s="32" t="n"/>
      <c r="O28" s="32" t="n"/>
      <c r="P28" s="32" t="n"/>
      <c r="Q28" s="32" t="n"/>
      <c r="R28" s="32" t="n"/>
      <c r="S28" s="32" t="n"/>
      <c r="T28" s="32" t="n"/>
      <c r="U28" s="32" t="n"/>
      <c r="V28" s="32" t="n"/>
      <c r="W28" s="32" t="n"/>
      <c r="X28" s="32" t="n"/>
      <c r="Y28" s="32" t="n"/>
      <c r="Z28" s="32" t="n"/>
      <c r="AA28" s="32" t="n"/>
      <c r="AB28" s="32" t="n"/>
      <c r="AC28" s="32" t="n"/>
      <c r="AD28" s="32" t="n"/>
      <c r="AE28" s="32" t="n"/>
      <c r="AF28" s="7">
        <f>IF(COUNT(E28:M28)=9,ROUND(SUM(E28:M28),2),"")</f>
        <v/>
      </c>
      <c r="AG28" s="7">
        <f>IF(COUNT(N28:S28)=6,ROUND(SUM(N28:S28),2),"")</f>
        <v/>
      </c>
      <c r="AH28" s="7">
        <f>IF(COUNT(T28:Y28)=6,ROUND(SUM(T28:Y28),2),"")</f>
        <v/>
      </c>
      <c r="AI28" s="7">
        <f>IF(COUNT(Z28:AE28)=6,ROUND(SUM(Z28:AE28),2),"")</f>
        <v/>
      </c>
      <c r="AJ28" s="33">
        <f>IF(COUNT(AF28:AI28)=4,ROUND(SUM(AF28:AI28),2),"")</f>
        <v/>
      </c>
      <c r="AK28" s="7">
        <f>IF(AF28="","",IF(AF28&gt;=2.0,"Đạt","Chưa đạt"))</f>
        <v/>
      </c>
      <c r="AL28" s="7">
        <f>IF(AG28="","",IF(AG28&gt;=1.0,"Đạt","Chưa đạt"))</f>
        <v/>
      </c>
      <c r="AM28" s="7">
        <f>IF(AH28="","",IF(AH28&gt;=1.0,"Đạt","Chưa đạt"))</f>
        <v/>
      </c>
      <c r="AN28" s="7">
        <f>IF(AI28="","",IF(AI28&gt;=1.0,"Đạt","Chưa đạt"))</f>
        <v/>
      </c>
      <c r="AO28" s="32" t="n"/>
    </row>
    <row r="29">
      <c r="A29" s="7" t="n">
        <v>26</v>
      </c>
      <c r="B29" s="32" t="n"/>
      <c r="C29" s="32" t="n"/>
      <c r="D29" s="32" t="n"/>
      <c r="E29" s="32" t="n"/>
      <c r="F29" s="32" t="n"/>
      <c r="G29" s="32" t="n"/>
      <c r="H29" s="32" t="n"/>
      <c r="I29" s="32" t="n"/>
      <c r="J29" s="32" t="n"/>
      <c r="K29" s="32" t="n"/>
      <c r="L29" s="32" t="n"/>
      <c r="M29" s="32" t="n"/>
      <c r="N29" s="32" t="n"/>
      <c r="O29" s="32" t="n"/>
      <c r="P29" s="32" t="n"/>
      <c r="Q29" s="32" t="n"/>
      <c r="R29" s="32" t="n"/>
      <c r="S29" s="32" t="n"/>
      <c r="T29" s="32" t="n"/>
      <c r="U29" s="32" t="n"/>
      <c r="V29" s="32" t="n"/>
      <c r="W29" s="32" t="n"/>
      <c r="X29" s="32" t="n"/>
      <c r="Y29" s="32" t="n"/>
      <c r="Z29" s="32" t="n"/>
      <c r="AA29" s="32" t="n"/>
      <c r="AB29" s="32" t="n"/>
      <c r="AC29" s="32" t="n"/>
      <c r="AD29" s="32" t="n"/>
      <c r="AE29" s="32" t="n"/>
      <c r="AF29" s="7">
        <f>IF(COUNT(E29:M29)=9,ROUND(SUM(E29:M29),2),"")</f>
        <v/>
      </c>
      <c r="AG29" s="7">
        <f>IF(COUNT(N29:S29)=6,ROUND(SUM(N29:S29),2),"")</f>
        <v/>
      </c>
      <c r="AH29" s="7">
        <f>IF(COUNT(T29:Y29)=6,ROUND(SUM(T29:Y29),2),"")</f>
        <v/>
      </c>
      <c r="AI29" s="7">
        <f>IF(COUNT(Z29:AE29)=6,ROUND(SUM(Z29:AE29),2),"")</f>
        <v/>
      </c>
      <c r="AJ29" s="33">
        <f>IF(COUNT(AF29:AI29)=4,ROUND(SUM(AF29:AI29),2),"")</f>
        <v/>
      </c>
      <c r="AK29" s="7">
        <f>IF(AF29="","",IF(AF29&gt;=2.0,"Đạt","Chưa đạt"))</f>
        <v/>
      </c>
      <c r="AL29" s="7">
        <f>IF(AG29="","",IF(AG29&gt;=1.0,"Đạt","Chưa đạt"))</f>
        <v/>
      </c>
      <c r="AM29" s="7">
        <f>IF(AH29="","",IF(AH29&gt;=1.0,"Đạt","Chưa đạt"))</f>
        <v/>
      </c>
      <c r="AN29" s="7">
        <f>IF(AI29="","",IF(AI29&gt;=1.0,"Đạt","Chưa đạt"))</f>
        <v/>
      </c>
      <c r="AO29" s="32" t="n"/>
    </row>
    <row r="30">
      <c r="A30" s="7" t="n">
        <v>27</v>
      </c>
      <c r="B30" s="32" t="n"/>
      <c r="C30" s="32" t="n"/>
      <c r="D30" s="32" t="n"/>
      <c r="E30" s="32" t="n"/>
      <c r="F30" s="32" t="n"/>
      <c r="G30" s="32" t="n"/>
      <c r="H30" s="32" t="n"/>
      <c r="I30" s="32" t="n"/>
      <c r="J30" s="32" t="n"/>
      <c r="K30" s="32" t="n"/>
      <c r="L30" s="32" t="n"/>
      <c r="M30" s="32" t="n"/>
      <c r="N30" s="32" t="n"/>
      <c r="O30" s="32" t="n"/>
      <c r="P30" s="32" t="n"/>
      <c r="Q30" s="32" t="n"/>
      <c r="R30" s="32" t="n"/>
      <c r="S30" s="32" t="n"/>
      <c r="T30" s="32" t="n"/>
      <c r="U30" s="32" t="n"/>
      <c r="V30" s="32" t="n"/>
      <c r="W30" s="32" t="n"/>
      <c r="X30" s="32" t="n"/>
      <c r="Y30" s="32" t="n"/>
      <c r="Z30" s="32" t="n"/>
      <c r="AA30" s="32" t="n"/>
      <c r="AB30" s="32" t="n"/>
      <c r="AC30" s="32" t="n"/>
      <c r="AD30" s="32" t="n"/>
      <c r="AE30" s="32" t="n"/>
      <c r="AF30" s="7">
        <f>IF(COUNT(E30:M30)=9,ROUND(SUM(E30:M30),2),"")</f>
        <v/>
      </c>
      <c r="AG30" s="7">
        <f>IF(COUNT(N30:S30)=6,ROUND(SUM(N30:S30),2),"")</f>
        <v/>
      </c>
      <c r="AH30" s="7">
        <f>IF(COUNT(T30:Y30)=6,ROUND(SUM(T30:Y30),2),"")</f>
        <v/>
      </c>
      <c r="AI30" s="7">
        <f>IF(COUNT(Z30:AE30)=6,ROUND(SUM(Z30:AE30),2),"")</f>
        <v/>
      </c>
      <c r="AJ30" s="33">
        <f>IF(COUNT(AF30:AI30)=4,ROUND(SUM(AF30:AI30),2),"")</f>
        <v/>
      </c>
      <c r="AK30" s="7">
        <f>IF(AF30="","",IF(AF30&gt;=2.0,"Đạt","Chưa đạt"))</f>
        <v/>
      </c>
      <c r="AL30" s="7">
        <f>IF(AG30="","",IF(AG30&gt;=1.0,"Đạt","Chưa đạt"))</f>
        <v/>
      </c>
      <c r="AM30" s="7">
        <f>IF(AH30="","",IF(AH30&gt;=1.0,"Đạt","Chưa đạt"))</f>
        <v/>
      </c>
      <c r="AN30" s="7">
        <f>IF(AI30="","",IF(AI30&gt;=1.0,"Đạt","Chưa đạt"))</f>
        <v/>
      </c>
      <c r="AO30" s="32" t="n"/>
    </row>
    <row r="31">
      <c r="A31" s="7" t="n">
        <v>28</v>
      </c>
      <c r="B31" s="32" t="n"/>
      <c r="C31" s="32" t="n"/>
      <c r="D31" s="32" t="n"/>
      <c r="E31" s="32" t="n"/>
      <c r="F31" s="32" t="n"/>
      <c r="G31" s="32" t="n"/>
      <c r="H31" s="32" t="n"/>
      <c r="I31" s="32" t="n"/>
      <c r="J31" s="32" t="n"/>
      <c r="K31" s="32" t="n"/>
      <c r="L31" s="32" t="n"/>
      <c r="M31" s="32" t="n"/>
      <c r="N31" s="32" t="n"/>
      <c r="O31" s="32" t="n"/>
      <c r="P31" s="32" t="n"/>
      <c r="Q31" s="32" t="n"/>
      <c r="R31" s="32" t="n"/>
      <c r="S31" s="32" t="n"/>
      <c r="T31" s="32" t="n"/>
      <c r="U31" s="32" t="n"/>
      <c r="V31" s="32" t="n"/>
      <c r="W31" s="32" t="n"/>
      <c r="X31" s="32" t="n"/>
      <c r="Y31" s="32" t="n"/>
      <c r="Z31" s="32" t="n"/>
      <c r="AA31" s="32" t="n"/>
      <c r="AB31" s="32" t="n"/>
      <c r="AC31" s="32" t="n"/>
      <c r="AD31" s="32" t="n"/>
      <c r="AE31" s="32" t="n"/>
      <c r="AF31" s="7">
        <f>IF(COUNT(E31:M31)=9,ROUND(SUM(E31:M31),2),"")</f>
        <v/>
      </c>
      <c r="AG31" s="7">
        <f>IF(COUNT(N31:S31)=6,ROUND(SUM(N31:S31),2),"")</f>
        <v/>
      </c>
      <c r="AH31" s="7">
        <f>IF(COUNT(T31:Y31)=6,ROUND(SUM(T31:Y31),2),"")</f>
        <v/>
      </c>
      <c r="AI31" s="7">
        <f>IF(COUNT(Z31:AE31)=6,ROUND(SUM(Z31:AE31),2),"")</f>
        <v/>
      </c>
      <c r="AJ31" s="33">
        <f>IF(COUNT(AF31:AI31)=4,ROUND(SUM(AF31:AI31),2),"")</f>
        <v/>
      </c>
      <c r="AK31" s="7">
        <f>IF(AF31="","",IF(AF31&gt;=2.0,"Đạt","Chưa đạt"))</f>
        <v/>
      </c>
      <c r="AL31" s="7">
        <f>IF(AG31="","",IF(AG31&gt;=1.0,"Đạt","Chưa đạt"))</f>
        <v/>
      </c>
      <c r="AM31" s="7">
        <f>IF(AH31="","",IF(AH31&gt;=1.0,"Đạt","Chưa đạt"))</f>
        <v/>
      </c>
      <c r="AN31" s="7">
        <f>IF(AI31="","",IF(AI31&gt;=1.0,"Đạt","Chưa đạt"))</f>
        <v/>
      </c>
      <c r="AO31" s="32" t="n"/>
    </row>
    <row r="32">
      <c r="A32" s="7" t="n">
        <v>29</v>
      </c>
      <c r="B32" s="32" t="n"/>
      <c r="C32" s="32" t="n"/>
      <c r="D32" s="32" t="n"/>
      <c r="E32" s="32" t="n"/>
      <c r="F32" s="32" t="n"/>
      <c r="G32" s="32" t="n"/>
      <c r="H32" s="32" t="n"/>
      <c r="I32" s="32" t="n"/>
      <c r="J32" s="32" t="n"/>
      <c r="K32" s="32" t="n"/>
      <c r="L32" s="32" t="n"/>
      <c r="M32" s="32" t="n"/>
      <c r="N32" s="32" t="n"/>
      <c r="O32" s="32" t="n"/>
      <c r="P32" s="32" t="n"/>
      <c r="Q32" s="32" t="n"/>
      <c r="R32" s="32" t="n"/>
      <c r="S32" s="32" t="n"/>
      <c r="T32" s="32" t="n"/>
      <c r="U32" s="32" t="n"/>
      <c r="V32" s="32" t="n"/>
      <c r="W32" s="32" t="n"/>
      <c r="X32" s="32" t="n"/>
      <c r="Y32" s="32" t="n"/>
      <c r="Z32" s="32" t="n"/>
      <c r="AA32" s="32" t="n"/>
      <c r="AB32" s="32" t="n"/>
      <c r="AC32" s="32" t="n"/>
      <c r="AD32" s="32" t="n"/>
      <c r="AE32" s="32" t="n"/>
      <c r="AF32" s="7">
        <f>IF(COUNT(E32:M32)=9,ROUND(SUM(E32:M32),2),"")</f>
        <v/>
      </c>
      <c r="AG32" s="7">
        <f>IF(COUNT(N32:S32)=6,ROUND(SUM(N32:S32),2),"")</f>
        <v/>
      </c>
      <c r="AH32" s="7">
        <f>IF(COUNT(T32:Y32)=6,ROUND(SUM(T32:Y32),2),"")</f>
        <v/>
      </c>
      <c r="AI32" s="7">
        <f>IF(COUNT(Z32:AE32)=6,ROUND(SUM(Z32:AE32),2),"")</f>
        <v/>
      </c>
      <c r="AJ32" s="33">
        <f>IF(COUNT(AF32:AI32)=4,ROUND(SUM(AF32:AI32),2),"")</f>
        <v/>
      </c>
      <c r="AK32" s="7">
        <f>IF(AF32="","",IF(AF32&gt;=2.0,"Đạt","Chưa đạt"))</f>
        <v/>
      </c>
      <c r="AL32" s="7">
        <f>IF(AG32="","",IF(AG32&gt;=1.0,"Đạt","Chưa đạt"))</f>
        <v/>
      </c>
      <c r="AM32" s="7">
        <f>IF(AH32="","",IF(AH32&gt;=1.0,"Đạt","Chưa đạt"))</f>
        <v/>
      </c>
      <c r="AN32" s="7">
        <f>IF(AI32="","",IF(AI32&gt;=1.0,"Đạt","Chưa đạt"))</f>
        <v/>
      </c>
      <c r="AO32" s="32" t="n"/>
    </row>
    <row r="33">
      <c r="A33" s="7" t="n">
        <v>30</v>
      </c>
      <c r="B33" s="32" t="n"/>
      <c r="C33" s="32" t="n"/>
      <c r="D33" s="32" t="n"/>
      <c r="E33" s="32" t="n"/>
      <c r="F33" s="32" t="n"/>
      <c r="G33" s="32" t="n"/>
      <c r="H33" s="32" t="n"/>
      <c r="I33" s="32" t="n"/>
      <c r="J33" s="32" t="n"/>
      <c r="K33" s="32" t="n"/>
      <c r="L33" s="32" t="n"/>
      <c r="M33" s="32" t="n"/>
      <c r="N33" s="32" t="n"/>
      <c r="O33" s="32" t="n"/>
      <c r="P33" s="32" t="n"/>
      <c r="Q33" s="32" t="n"/>
      <c r="R33" s="32" t="n"/>
      <c r="S33" s="32" t="n"/>
      <c r="T33" s="32" t="n"/>
      <c r="U33" s="32" t="n"/>
      <c r="V33" s="32" t="n"/>
      <c r="W33" s="32" t="n"/>
      <c r="X33" s="32" t="n"/>
      <c r="Y33" s="32" t="n"/>
      <c r="Z33" s="32" t="n"/>
      <c r="AA33" s="32" t="n"/>
      <c r="AB33" s="32" t="n"/>
      <c r="AC33" s="32" t="n"/>
      <c r="AD33" s="32" t="n"/>
      <c r="AE33" s="32" t="n"/>
      <c r="AF33" s="7">
        <f>IF(COUNT(E33:M33)=9,ROUND(SUM(E33:M33),2),"")</f>
        <v/>
      </c>
      <c r="AG33" s="7">
        <f>IF(COUNT(N33:S33)=6,ROUND(SUM(N33:S33),2),"")</f>
        <v/>
      </c>
      <c r="AH33" s="7">
        <f>IF(COUNT(T33:Y33)=6,ROUND(SUM(T33:Y33),2),"")</f>
        <v/>
      </c>
      <c r="AI33" s="7">
        <f>IF(COUNT(Z33:AE33)=6,ROUND(SUM(Z33:AE33),2),"")</f>
        <v/>
      </c>
      <c r="AJ33" s="33">
        <f>IF(COUNT(AF33:AI33)=4,ROUND(SUM(AF33:AI33),2),"")</f>
        <v/>
      </c>
      <c r="AK33" s="7">
        <f>IF(AF33="","",IF(AF33&gt;=2.0,"Đạt","Chưa đạt"))</f>
        <v/>
      </c>
      <c r="AL33" s="7">
        <f>IF(AG33="","",IF(AG33&gt;=1.0,"Đạt","Chưa đạt"))</f>
        <v/>
      </c>
      <c r="AM33" s="7">
        <f>IF(AH33="","",IF(AH33&gt;=1.0,"Đạt","Chưa đạt"))</f>
        <v/>
      </c>
      <c r="AN33" s="7">
        <f>IF(AI33="","",IF(AI33&gt;=1.0,"Đạt","Chưa đạt"))</f>
        <v/>
      </c>
      <c r="AO33" s="32" t="n"/>
    </row>
    <row r="34">
      <c r="A34" s="7" t="n">
        <v>31</v>
      </c>
      <c r="B34" s="32" t="n"/>
      <c r="C34" s="32" t="n"/>
      <c r="D34" s="32" t="n"/>
      <c r="E34" s="32" t="n"/>
      <c r="F34" s="32" t="n"/>
      <c r="G34" s="32" t="n"/>
      <c r="H34" s="32" t="n"/>
      <c r="I34" s="32" t="n"/>
      <c r="J34" s="32" t="n"/>
      <c r="K34" s="32" t="n"/>
      <c r="L34" s="32" t="n"/>
      <c r="M34" s="32" t="n"/>
      <c r="N34" s="32" t="n"/>
      <c r="O34" s="32" t="n"/>
      <c r="P34" s="32" t="n"/>
      <c r="Q34" s="32" t="n"/>
      <c r="R34" s="32" t="n"/>
      <c r="S34" s="32" t="n"/>
      <c r="T34" s="32" t="n"/>
      <c r="U34" s="32" t="n"/>
      <c r="V34" s="32" t="n"/>
      <c r="W34" s="32" t="n"/>
      <c r="X34" s="32" t="n"/>
      <c r="Y34" s="32" t="n"/>
      <c r="Z34" s="32" t="n"/>
      <c r="AA34" s="32" t="n"/>
      <c r="AB34" s="32" t="n"/>
      <c r="AC34" s="32" t="n"/>
      <c r="AD34" s="32" t="n"/>
      <c r="AE34" s="32" t="n"/>
      <c r="AF34" s="7">
        <f>IF(COUNT(E34:M34)=9,ROUND(SUM(E34:M34),2),"")</f>
        <v/>
      </c>
      <c r="AG34" s="7">
        <f>IF(COUNT(N34:S34)=6,ROUND(SUM(N34:S34),2),"")</f>
        <v/>
      </c>
      <c r="AH34" s="7">
        <f>IF(COUNT(T34:Y34)=6,ROUND(SUM(T34:Y34),2),"")</f>
        <v/>
      </c>
      <c r="AI34" s="7">
        <f>IF(COUNT(Z34:AE34)=6,ROUND(SUM(Z34:AE34),2),"")</f>
        <v/>
      </c>
      <c r="AJ34" s="33">
        <f>IF(COUNT(AF34:AI34)=4,ROUND(SUM(AF34:AI34),2),"")</f>
        <v/>
      </c>
      <c r="AK34" s="7">
        <f>IF(AF34="","",IF(AF34&gt;=2.0,"Đạt","Chưa đạt"))</f>
        <v/>
      </c>
      <c r="AL34" s="7">
        <f>IF(AG34="","",IF(AG34&gt;=1.0,"Đạt","Chưa đạt"))</f>
        <v/>
      </c>
      <c r="AM34" s="7">
        <f>IF(AH34="","",IF(AH34&gt;=1.0,"Đạt","Chưa đạt"))</f>
        <v/>
      </c>
      <c r="AN34" s="7">
        <f>IF(AI34="","",IF(AI34&gt;=1.0,"Đạt","Chưa đạt"))</f>
        <v/>
      </c>
      <c r="AO34" s="32" t="n"/>
    </row>
    <row r="35">
      <c r="A35" s="7" t="n">
        <v>32</v>
      </c>
      <c r="B35" s="32" t="n"/>
      <c r="C35" s="32" t="n"/>
      <c r="D35" s="32" t="n"/>
      <c r="E35" s="32" t="n"/>
      <c r="F35" s="32" t="n"/>
      <c r="G35" s="32" t="n"/>
      <c r="H35" s="32" t="n"/>
      <c r="I35" s="32" t="n"/>
      <c r="J35" s="32" t="n"/>
      <c r="K35" s="32" t="n"/>
      <c r="L35" s="32" t="n"/>
      <c r="M35" s="32" t="n"/>
      <c r="N35" s="32" t="n"/>
      <c r="O35" s="32" t="n"/>
      <c r="P35" s="32" t="n"/>
      <c r="Q35" s="32" t="n"/>
      <c r="R35" s="32" t="n"/>
      <c r="S35" s="32" t="n"/>
      <c r="T35" s="32" t="n"/>
      <c r="U35" s="32" t="n"/>
      <c r="V35" s="32" t="n"/>
      <c r="W35" s="32" t="n"/>
      <c r="X35" s="32" t="n"/>
      <c r="Y35" s="32" t="n"/>
      <c r="Z35" s="32" t="n"/>
      <c r="AA35" s="32" t="n"/>
      <c r="AB35" s="32" t="n"/>
      <c r="AC35" s="32" t="n"/>
      <c r="AD35" s="32" t="n"/>
      <c r="AE35" s="32" t="n"/>
      <c r="AF35" s="7">
        <f>IF(COUNT(E35:M35)=9,ROUND(SUM(E35:M35),2),"")</f>
        <v/>
      </c>
      <c r="AG35" s="7">
        <f>IF(COUNT(N35:S35)=6,ROUND(SUM(N35:S35),2),"")</f>
        <v/>
      </c>
      <c r="AH35" s="7">
        <f>IF(COUNT(T35:Y35)=6,ROUND(SUM(T35:Y35),2),"")</f>
        <v/>
      </c>
      <c r="AI35" s="7">
        <f>IF(COUNT(Z35:AE35)=6,ROUND(SUM(Z35:AE35),2),"")</f>
        <v/>
      </c>
      <c r="AJ35" s="33">
        <f>IF(COUNT(AF35:AI35)=4,ROUND(SUM(AF35:AI35),2),"")</f>
        <v/>
      </c>
      <c r="AK35" s="7">
        <f>IF(AF35="","",IF(AF35&gt;=2.0,"Đạt","Chưa đạt"))</f>
        <v/>
      </c>
      <c r="AL35" s="7">
        <f>IF(AG35="","",IF(AG35&gt;=1.0,"Đạt","Chưa đạt"))</f>
        <v/>
      </c>
      <c r="AM35" s="7">
        <f>IF(AH35="","",IF(AH35&gt;=1.0,"Đạt","Chưa đạt"))</f>
        <v/>
      </c>
      <c r="AN35" s="7">
        <f>IF(AI35="","",IF(AI35&gt;=1.0,"Đạt","Chưa đạt"))</f>
        <v/>
      </c>
      <c r="AO35" s="32" t="n"/>
    </row>
    <row r="36">
      <c r="A36" s="7" t="n">
        <v>33</v>
      </c>
      <c r="B36" s="32" t="n"/>
      <c r="C36" s="32" t="n"/>
      <c r="D36" s="32" t="n"/>
      <c r="E36" s="32" t="n"/>
      <c r="F36" s="32" t="n"/>
      <c r="G36" s="32" t="n"/>
      <c r="H36" s="32" t="n"/>
      <c r="I36" s="32" t="n"/>
      <c r="J36" s="32" t="n"/>
      <c r="K36" s="32" t="n"/>
      <c r="L36" s="32" t="n"/>
      <c r="M36" s="32" t="n"/>
      <c r="N36" s="32" t="n"/>
      <c r="O36" s="32" t="n"/>
      <c r="P36" s="32" t="n"/>
      <c r="Q36" s="32" t="n"/>
      <c r="R36" s="32" t="n"/>
      <c r="S36" s="32" t="n"/>
      <c r="T36" s="32" t="n"/>
      <c r="U36" s="32" t="n"/>
      <c r="V36" s="32" t="n"/>
      <c r="W36" s="32" t="n"/>
      <c r="X36" s="32" t="n"/>
      <c r="Y36" s="32" t="n"/>
      <c r="Z36" s="32" t="n"/>
      <c r="AA36" s="32" t="n"/>
      <c r="AB36" s="32" t="n"/>
      <c r="AC36" s="32" t="n"/>
      <c r="AD36" s="32" t="n"/>
      <c r="AE36" s="32" t="n"/>
      <c r="AF36" s="7">
        <f>IF(COUNT(E36:M36)=9,ROUND(SUM(E36:M36),2),"")</f>
        <v/>
      </c>
      <c r="AG36" s="7">
        <f>IF(COUNT(N36:S36)=6,ROUND(SUM(N36:S36),2),"")</f>
        <v/>
      </c>
      <c r="AH36" s="7">
        <f>IF(COUNT(T36:Y36)=6,ROUND(SUM(T36:Y36),2),"")</f>
        <v/>
      </c>
      <c r="AI36" s="7">
        <f>IF(COUNT(Z36:AE36)=6,ROUND(SUM(Z36:AE36),2),"")</f>
        <v/>
      </c>
      <c r="AJ36" s="33">
        <f>IF(COUNT(AF36:AI36)=4,ROUND(SUM(AF36:AI36),2),"")</f>
        <v/>
      </c>
      <c r="AK36" s="7">
        <f>IF(AF36="","",IF(AF36&gt;=2.0,"Đạt","Chưa đạt"))</f>
        <v/>
      </c>
      <c r="AL36" s="7">
        <f>IF(AG36="","",IF(AG36&gt;=1.0,"Đạt","Chưa đạt"))</f>
        <v/>
      </c>
      <c r="AM36" s="7">
        <f>IF(AH36="","",IF(AH36&gt;=1.0,"Đạt","Chưa đạt"))</f>
        <v/>
      </c>
      <c r="AN36" s="7">
        <f>IF(AI36="","",IF(AI36&gt;=1.0,"Đạt","Chưa đạt"))</f>
        <v/>
      </c>
      <c r="AO36" s="32" t="n"/>
    </row>
    <row r="37">
      <c r="A37" s="7" t="n">
        <v>34</v>
      </c>
      <c r="B37" s="32" t="n"/>
      <c r="C37" s="32" t="n"/>
      <c r="D37" s="32" t="n"/>
      <c r="E37" s="32" t="n"/>
      <c r="F37" s="32" t="n"/>
      <c r="G37" s="32" t="n"/>
      <c r="H37" s="32" t="n"/>
      <c r="I37" s="32" t="n"/>
      <c r="J37" s="32" t="n"/>
      <c r="K37" s="32" t="n"/>
      <c r="L37" s="32" t="n"/>
      <c r="M37" s="32" t="n"/>
      <c r="N37" s="32" t="n"/>
      <c r="O37" s="32" t="n"/>
      <c r="P37" s="32" t="n"/>
      <c r="Q37" s="32" t="n"/>
      <c r="R37" s="32" t="n"/>
      <c r="S37" s="32" t="n"/>
      <c r="T37" s="32" t="n"/>
      <c r="U37" s="32" t="n"/>
      <c r="V37" s="32" t="n"/>
      <c r="W37" s="32" t="n"/>
      <c r="X37" s="32" t="n"/>
      <c r="Y37" s="32" t="n"/>
      <c r="Z37" s="32" t="n"/>
      <c r="AA37" s="32" t="n"/>
      <c r="AB37" s="32" t="n"/>
      <c r="AC37" s="32" t="n"/>
      <c r="AD37" s="32" t="n"/>
      <c r="AE37" s="32" t="n"/>
      <c r="AF37" s="7">
        <f>IF(COUNT(E37:M37)=9,ROUND(SUM(E37:M37),2),"")</f>
        <v/>
      </c>
      <c r="AG37" s="7">
        <f>IF(COUNT(N37:S37)=6,ROUND(SUM(N37:S37),2),"")</f>
        <v/>
      </c>
      <c r="AH37" s="7">
        <f>IF(COUNT(T37:Y37)=6,ROUND(SUM(T37:Y37),2),"")</f>
        <v/>
      </c>
      <c r="AI37" s="7">
        <f>IF(COUNT(Z37:AE37)=6,ROUND(SUM(Z37:AE37),2),"")</f>
        <v/>
      </c>
      <c r="AJ37" s="33">
        <f>IF(COUNT(AF37:AI37)=4,ROUND(SUM(AF37:AI37),2),"")</f>
        <v/>
      </c>
      <c r="AK37" s="7">
        <f>IF(AF37="","",IF(AF37&gt;=2.0,"Đạt","Chưa đạt"))</f>
        <v/>
      </c>
      <c r="AL37" s="7">
        <f>IF(AG37="","",IF(AG37&gt;=1.0,"Đạt","Chưa đạt"))</f>
        <v/>
      </c>
      <c r="AM37" s="7">
        <f>IF(AH37="","",IF(AH37&gt;=1.0,"Đạt","Chưa đạt"))</f>
        <v/>
      </c>
      <c r="AN37" s="7">
        <f>IF(AI37="","",IF(AI37&gt;=1.0,"Đạt","Chưa đạt"))</f>
        <v/>
      </c>
      <c r="AO37" s="32" t="n"/>
    </row>
    <row r="38">
      <c r="A38" s="7" t="n">
        <v>35</v>
      </c>
      <c r="B38" s="32" t="n"/>
      <c r="C38" s="32" t="n"/>
      <c r="D38" s="32" t="n"/>
      <c r="E38" s="32" t="n"/>
      <c r="F38" s="32" t="n"/>
      <c r="G38" s="32" t="n"/>
      <c r="H38" s="32" t="n"/>
      <c r="I38" s="32" t="n"/>
      <c r="J38" s="32" t="n"/>
      <c r="K38" s="32" t="n"/>
      <c r="L38" s="32" t="n"/>
      <c r="M38" s="32" t="n"/>
      <c r="N38" s="32" t="n"/>
      <c r="O38" s="32" t="n"/>
      <c r="P38" s="32" t="n"/>
      <c r="Q38" s="32" t="n"/>
      <c r="R38" s="32" t="n"/>
      <c r="S38" s="32" t="n"/>
      <c r="T38" s="32" t="n"/>
      <c r="U38" s="32" t="n"/>
      <c r="V38" s="32" t="n"/>
      <c r="W38" s="32" t="n"/>
      <c r="X38" s="32" t="n"/>
      <c r="Y38" s="32" t="n"/>
      <c r="Z38" s="32" t="n"/>
      <c r="AA38" s="32" t="n"/>
      <c r="AB38" s="32" t="n"/>
      <c r="AC38" s="32" t="n"/>
      <c r="AD38" s="32" t="n"/>
      <c r="AE38" s="32" t="n"/>
      <c r="AF38" s="7">
        <f>IF(COUNT(E38:M38)=9,ROUND(SUM(E38:M38),2),"")</f>
        <v/>
      </c>
      <c r="AG38" s="7">
        <f>IF(COUNT(N38:S38)=6,ROUND(SUM(N38:S38),2),"")</f>
        <v/>
      </c>
      <c r="AH38" s="7">
        <f>IF(COUNT(T38:Y38)=6,ROUND(SUM(T38:Y38),2),"")</f>
        <v/>
      </c>
      <c r="AI38" s="7">
        <f>IF(COUNT(Z38:AE38)=6,ROUND(SUM(Z38:AE38),2),"")</f>
        <v/>
      </c>
      <c r="AJ38" s="33">
        <f>IF(COUNT(AF38:AI38)=4,ROUND(SUM(AF38:AI38),2),"")</f>
        <v/>
      </c>
      <c r="AK38" s="7">
        <f>IF(AF38="","",IF(AF38&gt;=2.0,"Đạt","Chưa đạt"))</f>
        <v/>
      </c>
      <c r="AL38" s="7">
        <f>IF(AG38="","",IF(AG38&gt;=1.0,"Đạt","Chưa đạt"))</f>
        <v/>
      </c>
      <c r="AM38" s="7">
        <f>IF(AH38="","",IF(AH38&gt;=1.0,"Đạt","Chưa đạt"))</f>
        <v/>
      </c>
      <c r="AN38" s="7">
        <f>IF(AI38="","",IF(AI38&gt;=1.0,"Đạt","Chưa đạt"))</f>
        <v/>
      </c>
      <c r="AO38" s="32" t="n"/>
    </row>
    <row r="39">
      <c r="A39" s="7" t="n">
        <v>36</v>
      </c>
      <c r="B39" s="32" t="n"/>
      <c r="C39" s="32" t="n"/>
      <c r="D39" s="32" t="n"/>
      <c r="E39" s="32" t="n"/>
      <c r="F39" s="32" t="n"/>
      <c r="G39" s="32" t="n"/>
      <c r="H39" s="32" t="n"/>
      <c r="I39" s="32" t="n"/>
      <c r="J39" s="32" t="n"/>
      <c r="K39" s="32" t="n"/>
      <c r="L39" s="32" t="n"/>
      <c r="M39" s="32" t="n"/>
      <c r="N39" s="32" t="n"/>
      <c r="O39" s="32" t="n"/>
      <c r="P39" s="32" t="n"/>
      <c r="Q39" s="32" t="n"/>
      <c r="R39" s="32" t="n"/>
      <c r="S39" s="32" t="n"/>
      <c r="T39" s="32" t="n"/>
      <c r="U39" s="32" t="n"/>
      <c r="V39" s="32" t="n"/>
      <c r="W39" s="32" t="n"/>
      <c r="X39" s="32" t="n"/>
      <c r="Y39" s="32" t="n"/>
      <c r="Z39" s="32" t="n"/>
      <c r="AA39" s="32" t="n"/>
      <c r="AB39" s="32" t="n"/>
      <c r="AC39" s="32" t="n"/>
      <c r="AD39" s="32" t="n"/>
      <c r="AE39" s="32" t="n"/>
      <c r="AF39" s="7">
        <f>IF(COUNT(E39:M39)=9,ROUND(SUM(E39:M39),2),"")</f>
        <v/>
      </c>
      <c r="AG39" s="7">
        <f>IF(COUNT(N39:S39)=6,ROUND(SUM(N39:S39),2),"")</f>
        <v/>
      </c>
      <c r="AH39" s="7">
        <f>IF(COUNT(T39:Y39)=6,ROUND(SUM(T39:Y39),2),"")</f>
        <v/>
      </c>
      <c r="AI39" s="7">
        <f>IF(COUNT(Z39:AE39)=6,ROUND(SUM(Z39:AE39),2),"")</f>
        <v/>
      </c>
      <c r="AJ39" s="33">
        <f>IF(COUNT(AF39:AI39)=4,ROUND(SUM(AF39:AI39),2),"")</f>
        <v/>
      </c>
      <c r="AK39" s="7">
        <f>IF(AF39="","",IF(AF39&gt;=2.0,"Đạt","Chưa đạt"))</f>
        <v/>
      </c>
      <c r="AL39" s="7">
        <f>IF(AG39="","",IF(AG39&gt;=1.0,"Đạt","Chưa đạt"))</f>
        <v/>
      </c>
      <c r="AM39" s="7">
        <f>IF(AH39="","",IF(AH39&gt;=1.0,"Đạt","Chưa đạt"))</f>
        <v/>
      </c>
      <c r="AN39" s="7">
        <f>IF(AI39="","",IF(AI39&gt;=1.0,"Đạt","Chưa đạt"))</f>
        <v/>
      </c>
      <c r="AO39" s="32" t="n"/>
    </row>
    <row r="40">
      <c r="A40" s="7" t="n">
        <v>37</v>
      </c>
      <c r="B40" s="32" t="n"/>
      <c r="C40" s="32" t="n"/>
      <c r="D40" s="32" t="n"/>
      <c r="E40" s="32" t="n"/>
      <c r="F40" s="32" t="n"/>
      <c r="G40" s="32" t="n"/>
      <c r="H40" s="32" t="n"/>
      <c r="I40" s="32" t="n"/>
      <c r="J40" s="32" t="n"/>
      <c r="K40" s="32" t="n"/>
      <c r="L40" s="32" t="n"/>
      <c r="M40" s="32" t="n"/>
      <c r="N40" s="32" t="n"/>
      <c r="O40" s="32" t="n"/>
      <c r="P40" s="32" t="n"/>
      <c r="Q40" s="32" t="n"/>
      <c r="R40" s="32" t="n"/>
      <c r="S40" s="32" t="n"/>
      <c r="T40" s="32" t="n"/>
      <c r="U40" s="32" t="n"/>
      <c r="V40" s="32" t="n"/>
      <c r="W40" s="32" t="n"/>
      <c r="X40" s="32" t="n"/>
      <c r="Y40" s="32" t="n"/>
      <c r="Z40" s="32" t="n"/>
      <c r="AA40" s="32" t="n"/>
      <c r="AB40" s="32" t="n"/>
      <c r="AC40" s="32" t="n"/>
      <c r="AD40" s="32" t="n"/>
      <c r="AE40" s="32" t="n"/>
      <c r="AF40" s="7">
        <f>IF(COUNT(E40:M40)=9,ROUND(SUM(E40:M40),2),"")</f>
        <v/>
      </c>
      <c r="AG40" s="7">
        <f>IF(COUNT(N40:S40)=6,ROUND(SUM(N40:S40),2),"")</f>
        <v/>
      </c>
      <c r="AH40" s="7">
        <f>IF(COUNT(T40:Y40)=6,ROUND(SUM(T40:Y40),2),"")</f>
        <v/>
      </c>
      <c r="AI40" s="7">
        <f>IF(COUNT(Z40:AE40)=6,ROUND(SUM(Z40:AE40),2),"")</f>
        <v/>
      </c>
      <c r="AJ40" s="33">
        <f>IF(COUNT(AF40:AI40)=4,ROUND(SUM(AF40:AI40),2),"")</f>
        <v/>
      </c>
      <c r="AK40" s="7">
        <f>IF(AF40="","",IF(AF40&gt;=2.0,"Đạt","Chưa đạt"))</f>
        <v/>
      </c>
      <c r="AL40" s="7">
        <f>IF(AG40="","",IF(AG40&gt;=1.0,"Đạt","Chưa đạt"))</f>
        <v/>
      </c>
      <c r="AM40" s="7">
        <f>IF(AH40="","",IF(AH40&gt;=1.0,"Đạt","Chưa đạt"))</f>
        <v/>
      </c>
      <c r="AN40" s="7">
        <f>IF(AI40="","",IF(AI40&gt;=1.0,"Đạt","Chưa đạt"))</f>
        <v/>
      </c>
      <c r="AO40" s="32" t="n"/>
    </row>
    <row r="41">
      <c r="A41" s="7" t="n">
        <v>38</v>
      </c>
      <c r="B41" s="32" t="n"/>
      <c r="C41" s="32" t="n"/>
      <c r="D41" s="32" t="n"/>
      <c r="E41" s="32" t="n"/>
      <c r="F41" s="32" t="n"/>
      <c r="G41" s="32" t="n"/>
      <c r="H41" s="32" t="n"/>
      <c r="I41" s="32" t="n"/>
      <c r="J41" s="32" t="n"/>
      <c r="K41" s="32" t="n"/>
      <c r="L41" s="32" t="n"/>
      <c r="M41" s="32" t="n"/>
      <c r="N41" s="32" t="n"/>
      <c r="O41" s="32" t="n"/>
      <c r="P41" s="32" t="n"/>
      <c r="Q41" s="32" t="n"/>
      <c r="R41" s="32" t="n"/>
      <c r="S41" s="32" t="n"/>
      <c r="T41" s="32" t="n"/>
      <c r="U41" s="32" t="n"/>
      <c r="V41" s="32" t="n"/>
      <c r="W41" s="32" t="n"/>
      <c r="X41" s="32" t="n"/>
      <c r="Y41" s="32" t="n"/>
      <c r="Z41" s="32" t="n"/>
      <c r="AA41" s="32" t="n"/>
      <c r="AB41" s="32" t="n"/>
      <c r="AC41" s="32" t="n"/>
      <c r="AD41" s="32" t="n"/>
      <c r="AE41" s="32" t="n"/>
      <c r="AF41" s="7">
        <f>IF(COUNT(E41:M41)=9,ROUND(SUM(E41:M41),2),"")</f>
        <v/>
      </c>
      <c r="AG41" s="7">
        <f>IF(COUNT(N41:S41)=6,ROUND(SUM(N41:S41),2),"")</f>
        <v/>
      </c>
      <c r="AH41" s="7">
        <f>IF(COUNT(T41:Y41)=6,ROUND(SUM(T41:Y41),2),"")</f>
        <v/>
      </c>
      <c r="AI41" s="7">
        <f>IF(COUNT(Z41:AE41)=6,ROUND(SUM(Z41:AE41),2),"")</f>
        <v/>
      </c>
      <c r="AJ41" s="33">
        <f>IF(COUNT(AF41:AI41)=4,ROUND(SUM(AF41:AI41),2),"")</f>
        <v/>
      </c>
      <c r="AK41" s="7">
        <f>IF(AF41="","",IF(AF41&gt;=2.0,"Đạt","Chưa đạt"))</f>
        <v/>
      </c>
      <c r="AL41" s="7">
        <f>IF(AG41="","",IF(AG41&gt;=1.0,"Đạt","Chưa đạt"))</f>
        <v/>
      </c>
      <c r="AM41" s="7">
        <f>IF(AH41="","",IF(AH41&gt;=1.0,"Đạt","Chưa đạt"))</f>
        <v/>
      </c>
      <c r="AN41" s="7">
        <f>IF(AI41="","",IF(AI41&gt;=1.0,"Đạt","Chưa đạt"))</f>
        <v/>
      </c>
      <c r="AO41" s="32" t="n"/>
    </row>
    <row r="42">
      <c r="A42" s="7" t="n">
        <v>39</v>
      </c>
      <c r="B42" s="32" t="n"/>
      <c r="C42" s="32" t="n"/>
      <c r="D42" s="32" t="n"/>
      <c r="E42" s="32" t="n"/>
      <c r="F42" s="32" t="n"/>
      <c r="G42" s="32" t="n"/>
      <c r="H42" s="32" t="n"/>
      <c r="I42" s="32" t="n"/>
      <c r="J42" s="32" t="n"/>
      <c r="K42" s="32" t="n"/>
      <c r="L42" s="32" t="n"/>
      <c r="M42" s="32" t="n"/>
      <c r="N42" s="32" t="n"/>
      <c r="O42" s="32" t="n"/>
      <c r="P42" s="32" t="n"/>
      <c r="Q42" s="32" t="n"/>
      <c r="R42" s="32" t="n"/>
      <c r="S42" s="32" t="n"/>
      <c r="T42" s="32" t="n"/>
      <c r="U42" s="32" t="n"/>
      <c r="V42" s="32" t="n"/>
      <c r="W42" s="32" t="n"/>
      <c r="X42" s="32" t="n"/>
      <c r="Y42" s="32" t="n"/>
      <c r="Z42" s="32" t="n"/>
      <c r="AA42" s="32" t="n"/>
      <c r="AB42" s="32" t="n"/>
      <c r="AC42" s="32" t="n"/>
      <c r="AD42" s="32" t="n"/>
      <c r="AE42" s="32" t="n"/>
      <c r="AF42" s="7">
        <f>IF(COUNT(E42:M42)=9,ROUND(SUM(E42:M42),2),"")</f>
        <v/>
      </c>
      <c r="AG42" s="7">
        <f>IF(COUNT(N42:S42)=6,ROUND(SUM(N42:S42),2),"")</f>
        <v/>
      </c>
      <c r="AH42" s="7">
        <f>IF(COUNT(T42:Y42)=6,ROUND(SUM(T42:Y42),2),"")</f>
        <v/>
      </c>
      <c r="AI42" s="7">
        <f>IF(COUNT(Z42:AE42)=6,ROUND(SUM(Z42:AE42),2),"")</f>
        <v/>
      </c>
      <c r="AJ42" s="33">
        <f>IF(COUNT(AF42:AI42)=4,ROUND(SUM(AF42:AI42),2),"")</f>
        <v/>
      </c>
      <c r="AK42" s="7">
        <f>IF(AF42="","",IF(AF42&gt;=2.0,"Đạt","Chưa đạt"))</f>
        <v/>
      </c>
      <c r="AL42" s="7">
        <f>IF(AG42="","",IF(AG42&gt;=1.0,"Đạt","Chưa đạt"))</f>
        <v/>
      </c>
      <c r="AM42" s="7">
        <f>IF(AH42="","",IF(AH42&gt;=1.0,"Đạt","Chưa đạt"))</f>
        <v/>
      </c>
      <c r="AN42" s="7">
        <f>IF(AI42="","",IF(AI42&gt;=1.0,"Đạt","Chưa đạt"))</f>
        <v/>
      </c>
      <c r="AO42" s="32" t="n"/>
    </row>
    <row r="43">
      <c r="A43" s="7" t="n">
        <v>40</v>
      </c>
      <c r="B43" s="32" t="n"/>
      <c r="C43" s="32" t="n"/>
      <c r="D43" s="32" t="n"/>
      <c r="E43" s="32" t="n"/>
      <c r="F43" s="32" t="n"/>
      <c r="G43" s="32" t="n"/>
      <c r="H43" s="32" t="n"/>
      <c r="I43" s="32" t="n"/>
      <c r="J43" s="32" t="n"/>
      <c r="K43" s="32" t="n"/>
      <c r="L43" s="32" t="n"/>
      <c r="M43" s="32" t="n"/>
      <c r="N43" s="32" t="n"/>
      <c r="O43" s="32" t="n"/>
      <c r="P43" s="32" t="n"/>
      <c r="Q43" s="32" t="n"/>
      <c r="R43" s="32" t="n"/>
      <c r="S43" s="32" t="n"/>
      <c r="T43" s="32" t="n"/>
      <c r="U43" s="32" t="n"/>
      <c r="V43" s="32" t="n"/>
      <c r="W43" s="32" t="n"/>
      <c r="X43" s="32" t="n"/>
      <c r="Y43" s="32" t="n"/>
      <c r="Z43" s="32" t="n"/>
      <c r="AA43" s="32" t="n"/>
      <c r="AB43" s="32" t="n"/>
      <c r="AC43" s="32" t="n"/>
      <c r="AD43" s="32" t="n"/>
      <c r="AE43" s="32" t="n"/>
      <c r="AF43" s="7">
        <f>IF(COUNT(E43:M43)=9,ROUND(SUM(E43:M43),2),"")</f>
        <v/>
      </c>
      <c r="AG43" s="7">
        <f>IF(COUNT(N43:S43)=6,ROUND(SUM(N43:S43),2),"")</f>
        <v/>
      </c>
      <c r="AH43" s="7">
        <f>IF(COUNT(T43:Y43)=6,ROUND(SUM(T43:Y43),2),"")</f>
        <v/>
      </c>
      <c r="AI43" s="7">
        <f>IF(COUNT(Z43:AE43)=6,ROUND(SUM(Z43:AE43),2),"")</f>
        <v/>
      </c>
      <c r="AJ43" s="33">
        <f>IF(COUNT(AF43:AI43)=4,ROUND(SUM(AF43:AI43),2),"")</f>
        <v/>
      </c>
      <c r="AK43" s="7">
        <f>IF(AF43="","",IF(AF43&gt;=2.0,"Đạt","Chưa đạt"))</f>
        <v/>
      </c>
      <c r="AL43" s="7">
        <f>IF(AG43="","",IF(AG43&gt;=1.0,"Đạt","Chưa đạt"))</f>
        <v/>
      </c>
      <c r="AM43" s="7">
        <f>IF(AH43="","",IF(AH43&gt;=1.0,"Đạt","Chưa đạt"))</f>
        <v/>
      </c>
      <c r="AN43" s="7">
        <f>IF(AI43="","",IF(AI43&gt;=1.0,"Đạt","Chưa đạt"))</f>
        <v/>
      </c>
      <c r="AO43" s="32" t="n"/>
    </row>
    <row r="44">
      <c r="A44" s="7" t="n">
        <v>41</v>
      </c>
      <c r="B44" s="32" t="n"/>
      <c r="C44" s="32" t="n"/>
      <c r="D44" s="32" t="n"/>
      <c r="E44" s="32" t="n"/>
      <c r="F44" s="32" t="n"/>
      <c r="G44" s="32" t="n"/>
      <c r="H44" s="32" t="n"/>
      <c r="I44" s="32" t="n"/>
      <c r="J44" s="32" t="n"/>
      <c r="K44" s="32" t="n"/>
      <c r="L44" s="32" t="n"/>
      <c r="M44" s="32" t="n"/>
      <c r="N44" s="32" t="n"/>
      <c r="O44" s="32" t="n"/>
      <c r="P44" s="32" t="n"/>
      <c r="Q44" s="32" t="n"/>
      <c r="R44" s="32" t="n"/>
      <c r="S44" s="32" t="n"/>
      <c r="T44" s="32" t="n"/>
      <c r="U44" s="32" t="n"/>
      <c r="V44" s="32" t="n"/>
      <c r="W44" s="32" t="n"/>
      <c r="X44" s="32" t="n"/>
      <c r="Y44" s="32" t="n"/>
      <c r="Z44" s="32" t="n"/>
      <c r="AA44" s="32" t="n"/>
      <c r="AB44" s="32" t="n"/>
      <c r="AC44" s="32" t="n"/>
      <c r="AD44" s="32" t="n"/>
      <c r="AE44" s="32" t="n"/>
      <c r="AF44" s="7">
        <f>IF(COUNT(E44:M44)=9,ROUND(SUM(E44:M44),2),"")</f>
        <v/>
      </c>
      <c r="AG44" s="7">
        <f>IF(COUNT(N44:S44)=6,ROUND(SUM(N44:S44),2),"")</f>
        <v/>
      </c>
      <c r="AH44" s="7">
        <f>IF(COUNT(T44:Y44)=6,ROUND(SUM(T44:Y44),2),"")</f>
        <v/>
      </c>
      <c r="AI44" s="7">
        <f>IF(COUNT(Z44:AE44)=6,ROUND(SUM(Z44:AE44),2),"")</f>
        <v/>
      </c>
      <c r="AJ44" s="33">
        <f>IF(COUNT(AF44:AI44)=4,ROUND(SUM(AF44:AI44),2),"")</f>
        <v/>
      </c>
      <c r="AK44" s="7">
        <f>IF(AF44="","",IF(AF44&gt;=2.0,"Đạt","Chưa đạt"))</f>
        <v/>
      </c>
      <c r="AL44" s="7">
        <f>IF(AG44="","",IF(AG44&gt;=1.0,"Đạt","Chưa đạt"))</f>
        <v/>
      </c>
      <c r="AM44" s="7">
        <f>IF(AH44="","",IF(AH44&gt;=1.0,"Đạt","Chưa đạt"))</f>
        <v/>
      </c>
      <c r="AN44" s="7">
        <f>IF(AI44="","",IF(AI44&gt;=1.0,"Đạt","Chưa đạt"))</f>
        <v/>
      </c>
      <c r="AO44" s="32" t="n"/>
    </row>
    <row r="45">
      <c r="A45" s="7" t="n">
        <v>42</v>
      </c>
      <c r="B45" s="32" t="n"/>
      <c r="C45" s="32" t="n"/>
      <c r="D45" s="32" t="n"/>
      <c r="E45" s="32" t="n"/>
      <c r="F45" s="32" t="n"/>
      <c r="G45" s="32" t="n"/>
      <c r="H45" s="32" t="n"/>
      <c r="I45" s="32" t="n"/>
      <c r="J45" s="32" t="n"/>
      <c r="K45" s="32" t="n"/>
      <c r="L45" s="32" t="n"/>
      <c r="M45" s="32" t="n"/>
      <c r="N45" s="32" t="n"/>
      <c r="O45" s="32" t="n"/>
      <c r="P45" s="32" t="n"/>
      <c r="Q45" s="32" t="n"/>
      <c r="R45" s="32" t="n"/>
      <c r="S45" s="32" t="n"/>
      <c r="T45" s="32" t="n"/>
      <c r="U45" s="32" t="n"/>
      <c r="V45" s="32" t="n"/>
      <c r="W45" s="32" t="n"/>
      <c r="X45" s="32" t="n"/>
      <c r="Y45" s="32" t="n"/>
      <c r="Z45" s="32" t="n"/>
      <c r="AA45" s="32" t="n"/>
      <c r="AB45" s="32" t="n"/>
      <c r="AC45" s="32" t="n"/>
      <c r="AD45" s="32" t="n"/>
      <c r="AE45" s="32" t="n"/>
      <c r="AF45" s="7">
        <f>IF(COUNT(E45:M45)=9,ROUND(SUM(E45:M45),2),"")</f>
        <v/>
      </c>
      <c r="AG45" s="7">
        <f>IF(COUNT(N45:S45)=6,ROUND(SUM(N45:S45),2),"")</f>
        <v/>
      </c>
      <c r="AH45" s="7">
        <f>IF(COUNT(T45:Y45)=6,ROUND(SUM(T45:Y45),2),"")</f>
        <v/>
      </c>
      <c r="AI45" s="7">
        <f>IF(COUNT(Z45:AE45)=6,ROUND(SUM(Z45:AE45),2),"")</f>
        <v/>
      </c>
      <c r="AJ45" s="33">
        <f>IF(COUNT(AF45:AI45)=4,ROUND(SUM(AF45:AI45),2),"")</f>
        <v/>
      </c>
      <c r="AK45" s="7">
        <f>IF(AF45="","",IF(AF45&gt;=2.0,"Đạt","Chưa đạt"))</f>
        <v/>
      </c>
      <c r="AL45" s="7">
        <f>IF(AG45="","",IF(AG45&gt;=1.0,"Đạt","Chưa đạt"))</f>
        <v/>
      </c>
      <c r="AM45" s="7">
        <f>IF(AH45="","",IF(AH45&gt;=1.0,"Đạt","Chưa đạt"))</f>
        <v/>
      </c>
      <c r="AN45" s="7">
        <f>IF(AI45="","",IF(AI45&gt;=1.0,"Đạt","Chưa đạt"))</f>
        <v/>
      </c>
      <c r="AO45" s="32" t="n"/>
    </row>
    <row r="46">
      <c r="A46" s="7" t="n">
        <v>43</v>
      </c>
      <c r="B46" s="32" t="n"/>
      <c r="C46" s="32" t="n"/>
      <c r="D46" s="32" t="n"/>
      <c r="E46" s="32" t="n"/>
      <c r="F46" s="32" t="n"/>
      <c r="G46" s="32" t="n"/>
      <c r="H46" s="32" t="n"/>
      <c r="I46" s="32" t="n"/>
      <c r="J46" s="32" t="n"/>
      <c r="K46" s="32" t="n"/>
      <c r="L46" s="32" t="n"/>
      <c r="M46" s="32" t="n"/>
      <c r="N46" s="32" t="n"/>
      <c r="O46" s="32" t="n"/>
      <c r="P46" s="32" t="n"/>
      <c r="Q46" s="32" t="n"/>
      <c r="R46" s="32" t="n"/>
      <c r="S46" s="32" t="n"/>
      <c r="T46" s="32" t="n"/>
      <c r="U46" s="32" t="n"/>
      <c r="V46" s="32" t="n"/>
      <c r="W46" s="32" t="n"/>
      <c r="X46" s="32" t="n"/>
      <c r="Y46" s="32" t="n"/>
      <c r="Z46" s="32" t="n"/>
      <c r="AA46" s="32" t="n"/>
      <c r="AB46" s="32" t="n"/>
      <c r="AC46" s="32" t="n"/>
      <c r="AD46" s="32" t="n"/>
      <c r="AE46" s="32" t="n"/>
      <c r="AF46" s="7">
        <f>IF(COUNT(E46:M46)=9,ROUND(SUM(E46:M46),2),"")</f>
        <v/>
      </c>
      <c r="AG46" s="7">
        <f>IF(COUNT(N46:S46)=6,ROUND(SUM(N46:S46),2),"")</f>
        <v/>
      </c>
      <c r="AH46" s="7">
        <f>IF(COUNT(T46:Y46)=6,ROUND(SUM(T46:Y46),2),"")</f>
        <v/>
      </c>
      <c r="AI46" s="7">
        <f>IF(COUNT(Z46:AE46)=6,ROUND(SUM(Z46:AE46),2),"")</f>
        <v/>
      </c>
      <c r="AJ46" s="33">
        <f>IF(COUNT(AF46:AI46)=4,ROUND(SUM(AF46:AI46),2),"")</f>
        <v/>
      </c>
      <c r="AK46" s="7">
        <f>IF(AF46="","",IF(AF46&gt;=2.0,"Đạt","Chưa đạt"))</f>
        <v/>
      </c>
      <c r="AL46" s="7">
        <f>IF(AG46="","",IF(AG46&gt;=1.0,"Đạt","Chưa đạt"))</f>
        <v/>
      </c>
      <c r="AM46" s="7">
        <f>IF(AH46="","",IF(AH46&gt;=1.0,"Đạt","Chưa đạt"))</f>
        <v/>
      </c>
      <c r="AN46" s="7">
        <f>IF(AI46="","",IF(AI46&gt;=1.0,"Đạt","Chưa đạt"))</f>
        <v/>
      </c>
      <c r="AO46" s="32" t="n"/>
    </row>
    <row r="47">
      <c r="A47" s="7" t="n">
        <v>44</v>
      </c>
      <c r="B47" s="32" t="n"/>
      <c r="C47" s="32" t="n"/>
      <c r="D47" s="32" t="n"/>
      <c r="E47" s="32" t="n"/>
      <c r="F47" s="32" t="n"/>
      <c r="G47" s="32" t="n"/>
      <c r="H47" s="32" t="n"/>
      <c r="I47" s="32" t="n"/>
      <c r="J47" s="32" t="n"/>
      <c r="K47" s="32" t="n"/>
      <c r="L47" s="32" t="n"/>
      <c r="M47" s="32" t="n"/>
      <c r="N47" s="32" t="n"/>
      <c r="O47" s="32" t="n"/>
      <c r="P47" s="32" t="n"/>
      <c r="Q47" s="32" t="n"/>
      <c r="R47" s="32" t="n"/>
      <c r="S47" s="32" t="n"/>
      <c r="T47" s="32" t="n"/>
      <c r="U47" s="32" t="n"/>
      <c r="V47" s="32" t="n"/>
      <c r="W47" s="32" t="n"/>
      <c r="X47" s="32" t="n"/>
      <c r="Y47" s="32" t="n"/>
      <c r="Z47" s="32" t="n"/>
      <c r="AA47" s="32" t="n"/>
      <c r="AB47" s="32" t="n"/>
      <c r="AC47" s="32" t="n"/>
      <c r="AD47" s="32" t="n"/>
      <c r="AE47" s="32" t="n"/>
      <c r="AF47" s="7">
        <f>IF(COUNT(E47:M47)=9,ROUND(SUM(E47:M47),2),"")</f>
        <v/>
      </c>
      <c r="AG47" s="7">
        <f>IF(COUNT(N47:S47)=6,ROUND(SUM(N47:S47),2),"")</f>
        <v/>
      </c>
      <c r="AH47" s="7">
        <f>IF(COUNT(T47:Y47)=6,ROUND(SUM(T47:Y47),2),"")</f>
        <v/>
      </c>
      <c r="AI47" s="7">
        <f>IF(COUNT(Z47:AE47)=6,ROUND(SUM(Z47:AE47),2),"")</f>
        <v/>
      </c>
      <c r="AJ47" s="33">
        <f>IF(COUNT(AF47:AI47)=4,ROUND(SUM(AF47:AI47),2),"")</f>
        <v/>
      </c>
      <c r="AK47" s="7">
        <f>IF(AF47="","",IF(AF47&gt;=2.0,"Đạt","Chưa đạt"))</f>
        <v/>
      </c>
      <c r="AL47" s="7">
        <f>IF(AG47="","",IF(AG47&gt;=1.0,"Đạt","Chưa đạt"))</f>
        <v/>
      </c>
      <c r="AM47" s="7">
        <f>IF(AH47="","",IF(AH47&gt;=1.0,"Đạt","Chưa đạt"))</f>
        <v/>
      </c>
      <c r="AN47" s="7">
        <f>IF(AI47="","",IF(AI47&gt;=1.0,"Đạt","Chưa đạt"))</f>
        <v/>
      </c>
      <c r="AO47" s="32" t="n"/>
    </row>
    <row r="48">
      <c r="A48" s="7" t="n">
        <v>45</v>
      </c>
      <c r="B48" s="32" t="n"/>
      <c r="C48" s="32" t="n"/>
      <c r="D48" s="32" t="n"/>
      <c r="E48" s="32" t="n"/>
      <c r="F48" s="32" t="n"/>
      <c r="G48" s="32" t="n"/>
      <c r="H48" s="32" t="n"/>
      <c r="I48" s="32" t="n"/>
      <c r="J48" s="32" t="n"/>
      <c r="K48" s="32" t="n"/>
      <c r="L48" s="32" t="n"/>
      <c r="M48" s="32" t="n"/>
      <c r="N48" s="32" t="n"/>
      <c r="O48" s="32" t="n"/>
      <c r="P48" s="32" t="n"/>
      <c r="Q48" s="32" t="n"/>
      <c r="R48" s="32" t="n"/>
      <c r="S48" s="32" t="n"/>
      <c r="T48" s="32" t="n"/>
      <c r="U48" s="32" t="n"/>
      <c r="V48" s="32" t="n"/>
      <c r="W48" s="32" t="n"/>
      <c r="X48" s="32" t="n"/>
      <c r="Y48" s="32" t="n"/>
      <c r="Z48" s="32" t="n"/>
      <c r="AA48" s="32" t="n"/>
      <c r="AB48" s="32" t="n"/>
      <c r="AC48" s="32" t="n"/>
      <c r="AD48" s="32" t="n"/>
      <c r="AE48" s="32" t="n"/>
      <c r="AF48" s="7">
        <f>IF(COUNT(E48:M48)=9,ROUND(SUM(E48:M48),2),"")</f>
        <v/>
      </c>
      <c r="AG48" s="7">
        <f>IF(COUNT(N48:S48)=6,ROUND(SUM(N48:S48),2),"")</f>
        <v/>
      </c>
      <c r="AH48" s="7">
        <f>IF(COUNT(T48:Y48)=6,ROUND(SUM(T48:Y48),2),"")</f>
        <v/>
      </c>
      <c r="AI48" s="7">
        <f>IF(COUNT(Z48:AE48)=6,ROUND(SUM(Z48:AE48),2),"")</f>
        <v/>
      </c>
      <c r="AJ48" s="33">
        <f>IF(COUNT(AF48:AI48)=4,ROUND(SUM(AF48:AI48),2),"")</f>
        <v/>
      </c>
      <c r="AK48" s="7">
        <f>IF(AF48="","",IF(AF48&gt;=2.0,"Đạt","Chưa đạt"))</f>
        <v/>
      </c>
      <c r="AL48" s="7">
        <f>IF(AG48="","",IF(AG48&gt;=1.0,"Đạt","Chưa đạt"))</f>
        <v/>
      </c>
      <c r="AM48" s="7">
        <f>IF(AH48="","",IF(AH48&gt;=1.0,"Đạt","Chưa đạt"))</f>
        <v/>
      </c>
      <c r="AN48" s="7">
        <f>IF(AI48="","",IF(AI48&gt;=1.0,"Đạt","Chưa đạt"))</f>
        <v/>
      </c>
      <c r="AO48" s="32" t="n"/>
    </row>
    <row r="49">
      <c r="A49" s="7" t="n">
        <v>46</v>
      </c>
      <c r="B49" s="32" t="n"/>
      <c r="C49" s="32" t="n"/>
      <c r="D49" s="32" t="n"/>
      <c r="E49" s="32" t="n"/>
      <c r="F49" s="32" t="n"/>
      <c r="G49" s="32" t="n"/>
      <c r="H49" s="32" t="n"/>
      <c r="I49" s="32" t="n"/>
      <c r="J49" s="32" t="n"/>
      <c r="K49" s="32" t="n"/>
      <c r="L49" s="32" t="n"/>
      <c r="M49" s="32" t="n"/>
      <c r="N49" s="32" t="n"/>
      <c r="O49" s="32" t="n"/>
      <c r="P49" s="32" t="n"/>
      <c r="Q49" s="32" t="n"/>
      <c r="R49" s="32" t="n"/>
      <c r="S49" s="32" t="n"/>
      <c r="T49" s="32" t="n"/>
      <c r="U49" s="32" t="n"/>
      <c r="V49" s="32" t="n"/>
      <c r="W49" s="32" t="n"/>
      <c r="X49" s="32" t="n"/>
      <c r="Y49" s="32" t="n"/>
      <c r="Z49" s="32" t="n"/>
      <c r="AA49" s="32" t="n"/>
      <c r="AB49" s="32" t="n"/>
      <c r="AC49" s="32" t="n"/>
      <c r="AD49" s="32" t="n"/>
      <c r="AE49" s="32" t="n"/>
      <c r="AF49" s="7">
        <f>IF(COUNT(E49:M49)=9,ROUND(SUM(E49:M49),2),"")</f>
        <v/>
      </c>
      <c r="AG49" s="7">
        <f>IF(COUNT(N49:S49)=6,ROUND(SUM(N49:S49),2),"")</f>
        <v/>
      </c>
      <c r="AH49" s="7">
        <f>IF(COUNT(T49:Y49)=6,ROUND(SUM(T49:Y49),2),"")</f>
        <v/>
      </c>
      <c r="AI49" s="7">
        <f>IF(COUNT(Z49:AE49)=6,ROUND(SUM(Z49:AE49),2),"")</f>
        <v/>
      </c>
      <c r="AJ49" s="33">
        <f>IF(COUNT(AF49:AI49)=4,ROUND(SUM(AF49:AI49),2),"")</f>
        <v/>
      </c>
      <c r="AK49" s="7">
        <f>IF(AF49="","",IF(AF49&gt;=2.0,"Đạt","Chưa đạt"))</f>
        <v/>
      </c>
      <c r="AL49" s="7">
        <f>IF(AG49="","",IF(AG49&gt;=1.0,"Đạt","Chưa đạt"))</f>
        <v/>
      </c>
      <c r="AM49" s="7">
        <f>IF(AH49="","",IF(AH49&gt;=1.0,"Đạt","Chưa đạt"))</f>
        <v/>
      </c>
      <c r="AN49" s="7">
        <f>IF(AI49="","",IF(AI49&gt;=1.0,"Đạt","Chưa đạt"))</f>
        <v/>
      </c>
      <c r="AO49" s="32" t="n"/>
    </row>
    <row r="50">
      <c r="A50" s="7" t="n">
        <v>47</v>
      </c>
      <c r="B50" s="32" t="n"/>
      <c r="C50" s="32" t="n"/>
      <c r="D50" s="32" t="n"/>
      <c r="E50" s="32" t="n"/>
      <c r="F50" s="32" t="n"/>
      <c r="G50" s="32" t="n"/>
      <c r="H50" s="32" t="n"/>
      <c r="I50" s="32" t="n"/>
      <c r="J50" s="32" t="n"/>
      <c r="K50" s="32" t="n"/>
      <c r="L50" s="32" t="n"/>
      <c r="M50" s="32" t="n"/>
      <c r="N50" s="32" t="n"/>
      <c r="O50" s="32" t="n"/>
      <c r="P50" s="32" t="n"/>
      <c r="Q50" s="32" t="n"/>
      <c r="R50" s="32" t="n"/>
      <c r="S50" s="32" t="n"/>
      <c r="T50" s="32" t="n"/>
      <c r="U50" s="32" t="n"/>
      <c r="V50" s="32" t="n"/>
      <c r="W50" s="32" t="n"/>
      <c r="X50" s="32" t="n"/>
      <c r="Y50" s="32" t="n"/>
      <c r="Z50" s="32" t="n"/>
      <c r="AA50" s="32" t="n"/>
      <c r="AB50" s="32" t="n"/>
      <c r="AC50" s="32" t="n"/>
      <c r="AD50" s="32" t="n"/>
      <c r="AE50" s="32" t="n"/>
      <c r="AF50" s="7">
        <f>IF(COUNT(E50:M50)=9,ROUND(SUM(E50:M50),2),"")</f>
        <v/>
      </c>
      <c r="AG50" s="7">
        <f>IF(COUNT(N50:S50)=6,ROUND(SUM(N50:S50),2),"")</f>
        <v/>
      </c>
      <c r="AH50" s="7">
        <f>IF(COUNT(T50:Y50)=6,ROUND(SUM(T50:Y50),2),"")</f>
        <v/>
      </c>
      <c r="AI50" s="7">
        <f>IF(COUNT(Z50:AE50)=6,ROUND(SUM(Z50:AE50),2),"")</f>
        <v/>
      </c>
      <c r="AJ50" s="33">
        <f>IF(COUNT(AF50:AI50)=4,ROUND(SUM(AF50:AI50),2),"")</f>
        <v/>
      </c>
      <c r="AK50" s="7">
        <f>IF(AF50="","",IF(AF50&gt;=2.0,"Đạt","Chưa đạt"))</f>
        <v/>
      </c>
      <c r="AL50" s="7">
        <f>IF(AG50="","",IF(AG50&gt;=1.0,"Đạt","Chưa đạt"))</f>
        <v/>
      </c>
      <c r="AM50" s="7">
        <f>IF(AH50="","",IF(AH50&gt;=1.0,"Đạt","Chưa đạt"))</f>
        <v/>
      </c>
      <c r="AN50" s="7">
        <f>IF(AI50="","",IF(AI50&gt;=1.0,"Đạt","Chưa đạt"))</f>
        <v/>
      </c>
      <c r="AO50" s="32" t="n"/>
    </row>
    <row r="51">
      <c r="A51" s="7" t="n">
        <v>48</v>
      </c>
      <c r="B51" s="32" t="n"/>
      <c r="C51" s="32" t="n"/>
      <c r="D51" s="32" t="n"/>
      <c r="E51" s="32" t="n"/>
      <c r="F51" s="32" t="n"/>
      <c r="G51" s="32" t="n"/>
      <c r="H51" s="32" t="n"/>
      <c r="I51" s="32" t="n"/>
      <c r="J51" s="32" t="n"/>
      <c r="K51" s="32" t="n"/>
      <c r="L51" s="32" t="n"/>
      <c r="M51" s="32" t="n"/>
      <c r="N51" s="32" t="n"/>
      <c r="O51" s="32" t="n"/>
      <c r="P51" s="32" t="n"/>
      <c r="Q51" s="32" t="n"/>
      <c r="R51" s="32" t="n"/>
      <c r="S51" s="32" t="n"/>
      <c r="T51" s="32" t="n"/>
      <c r="U51" s="32" t="n"/>
      <c r="V51" s="32" t="n"/>
      <c r="W51" s="32" t="n"/>
      <c r="X51" s="32" t="n"/>
      <c r="Y51" s="32" t="n"/>
      <c r="Z51" s="32" t="n"/>
      <c r="AA51" s="32" t="n"/>
      <c r="AB51" s="32" t="n"/>
      <c r="AC51" s="32" t="n"/>
      <c r="AD51" s="32" t="n"/>
      <c r="AE51" s="32" t="n"/>
      <c r="AF51" s="7">
        <f>IF(COUNT(E51:M51)=9,ROUND(SUM(E51:M51),2),"")</f>
        <v/>
      </c>
      <c r="AG51" s="7">
        <f>IF(COUNT(N51:S51)=6,ROUND(SUM(N51:S51),2),"")</f>
        <v/>
      </c>
      <c r="AH51" s="7">
        <f>IF(COUNT(T51:Y51)=6,ROUND(SUM(T51:Y51),2),"")</f>
        <v/>
      </c>
      <c r="AI51" s="7">
        <f>IF(COUNT(Z51:AE51)=6,ROUND(SUM(Z51:AE51),2),"")</f>
        <v/>
      </c>
      <c r="AJ51" s="33">
        <f>IF(COUNT(AF51:AI51)=4,ROUND(SUM(AF51:AI51),2),"")</f>
        <v/>
      </c>
      <c r="AK51" s="7">
        <f>IF(AF51="","",IF(AF51&gt;=2.0,"Đạt","Chưa đạt"))</f>
        <v/>
      </c>
      <c r="AL51" s="7">
        <f>IF(AG51="","",IF(AG51&gt;=1.0,"Đạt","Chưa đạt"))</f>
        <v/>
      </c>
      <c r="AM51" s="7">
        <f>IF(AH51="","",IF(AH51&gt;=1.0,"Đạt","Chưa đạt"))</f>
        <v/>
      </c>
      <c r="AN51" s="7">
        <f>IF(AI51="","",IF(AI51&gt;=1.0,"Đạt","Chưa đạt"))</f>
        <v/>
      </c>
      <c r="AO51" s="32" t="n"/>
    </row>
    <row r="52">
      <c r="A52" s="7" t="n">
        <v>49</v>
      </c>
      <c r="B52" s="32" t="n"/>
      <c r="C52" s="32" t="n"/>
      <c r="D52" s="32" t="n"/>
      <c r="E52" s="32" t="n"/>
      <c r="F52" s="32" t="n"/>
      <c r="G52" s="32" t="n"/>
      <c r="H52" s="32" t="n"/>
      <c r="I52" s="32" t="n"/>
      <c r="J52" s="32" t="n"/>
      <c r="K52" s="32" t="n"/>
      <c r="L52" s="32" t="n"/>
      <c r="M52" s="32" t="n"/>
      <c r="N52" s="32" t="n"/>
      <c r="O52" s="32" t="n"/>
      <c r="P52" s="32" t="n"/>
      <c r="Q52" s="32" t="n"/>
      <c r="R52" s="32" t="n"/>
      <c r="S52" s="32" t="n"/>
      <c r="T52" s="32" t="n"/>
      <c r="U52" s="32" t="n"/>
      <c r="V52" s="32" t="n"/>
      <c r="W52" s="32" t="n"/>
      <c r="X52" s="32" t="n"/>
      <c r="Y52" s="32" t="n"/>
      <c r="Z52" s="32" t="n"/>
      <c r="AA52" s="32" t="n"/>
      <c r="AB52" s="32" t="n"/>
      <c r="AC52" s="32" t="n"/>
      <c r="AD52" s="32" t="n"/>
      <c r="AE52" s="32" t="n"/>
      <c r="AF52" s="7">
        <f>IF(COUNT(E52:M52)=9,ROUND(SUM(E52:M52),2),"")</f>
        <v/>
      </c>
      <c r="AG52" s="7">
        <f>IF(COUNT(N52:S52)=6,ROUND(SUM(N52:S52),2),"")</f>
        <v/>
      </c>
      <c r="AH52" s="7">
        <f>IF(COUNT(T52:Y52)=6,ROUND(SUM(T52:Y52),2),"")</f>
        <v/>
      </c>
      <c r="AI52" s="7">
        <f>IF(COUNT(Z52:AE52)=6,ROUND(SUM(Z52:AE52),2),"")</f>
        <v/>
      </c>
      <c r="AJ52" s="33">
        <f>IF(COUNT(AF52:AI52)=4,ROUND(SUM(AF52:AI52),2),"")</f>
        <v/>
      </c>
      <c r="AK52" s="7">
        <f>IF(AF52="","",IF(AF52&gt;=2.0,"Đạt","Chưa đạt"))</f>
        <v/>
      </c>
      <c r="AL52" s="7">
        <f>IF(AG52="","",IF(AG52&gt;=1.0,"Đạt","Chưa đạt"))</f>
        <v/>
      </c>
      <c r="AM52" s="7">
        <f>IF(AH52="","",IF(AH52&gt;=1.0,"Đạt","Chưa đạt"))</f>
        <v/>
      </c>
      <c r="AN52" s="7">
        <f>IF(AI52="","",IF(AI52&gt;=1.0,"Đạt","Chưa đạt"))</f>
        <v/>
      </c>
      <c r="AO52" s="32" t="n"/>
    </row>
    <row r="53">
      <c r="A53" s="7" t="n">
        <v>50</v>
      </c>
      <c r="B53" s="32" t="n"/>
      <c r="C53" s="32" t="n"/>
      <c r="D53" s="32" t="n"/>
      <c r="E53" s="32" t="n"/>
      <c r="F53" s="32" t="n"/>
      <c r="G53" s="32" t="n"/>
      <c r="H53" s="32" t="n"/>
      <c r="I53" s="32" t="n"/>
      <c r="J53" s="32" t="n"/>
      <c r="K53" s="32" t="n"/>
      <c r="L53" s="32" t="n"/>
      <c r="M53" s="32" t="n"/>
      <c r="N53" s="32" t="n"/>
      <c r="O53" s="32" t="n"/>
      <c r="P53" s="32" t="n"/>
      <c r="Q53" s="32" t="n"/>
      <c r="R53" s="32" t="n"/>
      <c r="S53" s="32" t="n"/>
      <c r="T53" s="32" t="n"/>
      <c r="U53" s="32" t="n"/>
      <c r="V53" s="32" t="n"/>
      <c r="W53" s="32" t="n"/>
      <c r="X53" s="32" t="n"/>
      <c r="Y53" s="32" t="n"/>
      <c r="Z53" s="32" t="n"/>
      <c r="AA53" s="32" t="n"/>
      <c r="AB53" s="32" t="n"/>
      <c r="AC53" s="32" t="n"/>
      <c r="AD53" s="32" t="n"/>
      <c r="AE53" s="32" t="n"/>
      <c r="AF53" s="7">
        <f>IF(COUNT(E53:M53)=9,ROUND(SUM(E53:M53),2),"")</f>
        <v/>
      </c>
      <c r="AG53" s="7">
        <f>IF(COUNT(N53:S53)=6,ROUND(SUM(N53:S53),2),"")</f>
        <v/>
      </c>
      <c r="AH53" s="7">
        <f>IF(COUNT(T53:Y53)=6,ROUND(SUM(T53:Y53),2),"")</f>
        <v/>
      </c>
      <c r="AI53" s="7">
        <f>IF(COUNT(Z53:AE53)=6,ROUND(SUM(Z53:AE53),2),"")</f>
        <v/>
      </c>
      <c r="AJ53" s="33">
        <f>IF(COUNT(AF53:AI53)=4,ROUND(SUM(AF53:AI53),2),"")</f>
        <v/>
      </c>
      <c r="AK53" s="7">
        <f>IF(AF53="","",IF(AF53&gt;=2.0,"Đạt","Chưa đạt"))</f>
        <v/>
      </c>
      <c r="AL53" s="7">
        <f>IF(AG53="","",IF(AG53&gt;=1.0,"Đạt","Chưa đạt"))</f>
        <v/>
      </c>
      <c r="AM53" s="7">
        <f>IF(AH53="","",IF(AH53&gt;=1.0,"Đạt","Chưa đạt"))</f>
        <v/>
      </c>
      <c r="AN53" s="7">
        <f>IF(AI53="","",IF(AI53&gt;=1.0,"Đạt","Chưa đạt"))</f>
        <v/>
      </c>
      <c r="AO53" s="32" t="n"/>
    </row>
    <row r="54">
      <c r="A54" s="7" t="n">
        <v>51</v>
      </c>
      <c r="B54" s="32" t="n"/>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2" t="n"/>
      <c r="AA54" s="32" t="n"/>
      <c r="AB54" s="32" t="n"/>
      <c r="AC54" s="32" t="n"/>
      <c r="AD54" s="32" t="n"/>
      <c r="AE54" s="32" t="n"/>
      <c r="AF54" s="7">
        <f>IF(COUNT(E54:M54)=9,ROUND(SUM(E54:M54),2),"")</f>
        <v/>
      </c>
      <c r="AG54" s="7">
        <f>IF(COUNT(N54:S54)=6,ROUND(SUM(N54:S54),2),"")</f>
        <v/>
      </c>
      <c r="AH54" s="7">
        <f>IF(COUNT(T54:Y54)=6,ROUND(SUM(T54:Y54),2),"")</f>
        <v/>
      </c>
      <c r="AI54" s="7">
        <f>IF(COUNT(Z54:AE54)=6,ROUND(SUM(Z54:AE54),2),"")</f>
        <v/>
      </c>
      <c r="AJ54" s="33">
        <f>IF(COUNT(AF54:AI54)=4,ROUND(SUM(AF54:AI54),2),"")</f>
        <v/>
      </c>
      <c r="AK54" s="7">
        <f>IF(AF54="","",IF(AF54&gt;=2.0,"Đạt","Chưa đạt"))</f>
        <v/>
      </c>
      <c r="AL54" s="7">
        <f>IF(AG54="","",IF(AG54&gt;=1.0,"Đạt","Chưa đạt"))</f>
        <v/>
      </c>
      <c r="AM54" s="7">
        <f>IF(AH54="","",IF(AH54&gt;=1.0,"Đạt","Chưa đạt"))</f>
        <v/>
      </c>
      <c r="AN54" s="7">
        <f>IF(AI54="","",IF(AI54&gt;=1.0,"Đạt","Chưa đạt"))</f>
        <v/>
      </c>
      <c r="AO54" s="32" t="n"/>
    </row>
    <row r="55">
      <c r="A55" s="7" t="n">
        <v>52</v>
      </c>
      <c r="B55" s="32" t="n"/>
      <c r="C55" s="32" t="n"/>
      <c r="D55" s="32" t="n"/>
      <c r="E55" s="32" t="n"/>
      <c r="F55" s="32" t="n"/>
      <c r="G55" s="32" t="n"/>
      <c r="H55" s="32" t="n"/>
      <c r="I55" s="32" t="n"/>
      <c r="J55" s="32" t="n"/>
      <c r="K55" s="32" t="n"/>
      <c r="L55" s="32" t="n"/>
      <c r="M55" s="32" t="n"/>
      <c r="N55" s="32" t="n"/>
      <c r="O55" s="32" t="n"/>
      <c r="P55" s="32" t="n"/>
      <c r="Q55" s="32" t="n"/>
      <c r="R55" s="32" t="n"/>
      <c r="S55" s="32" t="n"/>
      <c r="T55" s="32" t="n"/>
      <c r="U55" s="32" t="n"/>
      <c r="V55" s="32" t="n"/>
      <c r="W55" s="32" t="n"/>
      <c r="X55" s="32" t="n"/>
      <c r="Y55" s="32" t="n"/>
      <c r="Z55" s="32" t="n"/>
      <c r="AA55" s="32" t="n"/>
      <c r="AB55" s="32" t="n"/>
      <c r="AC55" s="32" t="n"/>
      <c r="AD55" s="32" t="n"/>
      <c r="AE55" s="32" t="n"/>
      <c r="AF55" s="7">
        <f>IF(COUNT(E55:M55)=9,ROUND(SUM(E55:M55),2),"")</f>
        <v/>
      </c>
      <c r="AG55" s="7">
        <f>IF(COUNT(N55:S55)=6,ROUND(SUM(N55:S55),2),"")</f>
        <v/>
      </c>
      <c r="AH55" s="7">
        <f>IF(COUNT(T55:Y55)=6,ROUND(SUM(T55:Y55),2),"")</f>
        <v/>
      </c>
      <c r="AI55" s="7">
        <f>IF(COUNT(Z55:AE55)=6,ROUND(SUM(Z55:AE55),2),"")</f>
        <v/>
      </c>
      <c r="AJ55" s="33">
        <f>IF(COUNT(AF55:AI55)=4,ROUND(SUM(AF55:AI55),2),"")</f>
        <v/>
      </c>
      <c r="AK55" s="7">
        <f>IF(AF55="","",IF(AF55&gt;=2.0,"Đạt","Chưa đạt"))</f>
        <v/>
      </c>
      <c r="AL55" s="7">
        <f>IF(AG55="","",IF(AG55&gt;=1.0,"Đạt","Chưa đạt"))</f>
        <v/>
      </c>
      <c r="AM55" s="7">
        <f>IF(AH55="","",IF(AH55&gt;=1.0,"Đạt","Chưa đạt"))</f>
        <v/>
      </c>
      <c r="AN55" s="7">
        <f>IF(AI55="","",IF(AI55&gt;=1.0,"Đạt","Chưa đạt"))</f>
        <v/>
      </c>
      <c r="AO55" s="32" t="n"/>
    </row>
    <row r="56">
      <c r="A56" s="7" t="n">
        <v>53</v>
      </c>
      <c r="B56" s="32" t="n"/>
      <c r="C56" s="32" t="n"/>
      <c r="D56" s="32" t="n"/>
      <c r="E56" s="32" t="n"/>
      <c r="F56" s="32" t="n"/>
      <c r="G56" s="32" t="n"/>
      <c r="H56" s="32" t="n"/>
      <c r="I56" s="32" t="n"/>
      <c r="J56" s="32" t="n"/>
      <c r="K56" s="32" t="n"/>
      <c r="L56" s="32" t="n"/>
      <c r="M56" s="32" t="n"/>
      <c r="N56" s="32" t="n"/>
      <c r="O56" s="32" t="n"/>
      <c r="P56" s="32" t="n"/>
      <c r="Q56" s="32" t="n"/>
      <c r="R56" s="32" t="n"/>
      <c r="S56" s="32" t="n"/>
      <c r="T56" s="32" t="n"/>
      <c r="U56" s="32" t="n"/>
      <c r="V56" s="32" t="n"/>
      <c r="W56" s="32" t="n"/>
      <c r="X56" s="32" t="n"/>
      <c r="Y56" s="32" t="n"/>
      <c r="Z56" s="32" t="n"/>
      <c r="AA56" s="32" t="n"/>
      <c r="AB56" s="32" t="n"/>
      <c r="AC56" s="32" t="n"/>
      <c r="AD56" s="32" t="n"/>
      <c r="AE56" s="32" t="n"/>
      <c r="AF56" s="7">
        <f>IF(COUNT(E56:M56)=9,ROUND(SUM(E56:M56),2),"")</f>
        <v/>
      </c>
      <c r="AG56" s="7">
        <f>IF(COUNT(N56:S56)=6,ROUND(SUM(N56:S56),2),"")</f>
        <v/>
      </c>
      <c r="AH56" s="7">
        <f>IF(COUNT(T56:Y56)=6,ROUND(SUM(T56:Y56),2),"")</f>
        <v/>
      </c>
      <c r="AI56" s="7">
        <f>IF(COUNT(Z56:AE56)=6,ROUND(SUM(Z56:AE56),2),"")</f>
        <v/>
      </c>
      <c r="AJ56" s="33">
        <f>IF(COUNT(AF56:AI56)=4,ROUND(SUM(AF56:AI56),2),"")</f>
        <v/>
      </c>
      <c r="AK56" s="7">
        <f>IF(AF56="","",IF(AF56&gt;=2.0,"Đạt","Chưa đạt"))</f>
        <v/>
      </c>
      <c r="AL56" s="7">
        <f>IF(AG56="","",IF(AG56&gt;=1.0,"Đạt","Chưa đạt"))</f>
        <v/>
      </c>
      <c r="AM56" s="7">
        <f>IF(AH56="","",IF(AH56&gt;=1.0,"Đạt","Chưa đạt"))</f>
        <v/>
      </c>
      <c r="AN56" s="7">
        <f>IF(AI56="","",IF(AI56&gt;=1.0,"Đạt","Chưa đạt"))</f>
        <v/>
      </c>
      <c r="AO56" s="32" t="n"/>
    </row>
    <row r="57">
      <c r="A57" s="7" t="n">
        <v>54</v>
      </c>
      <c r="B57" s="32" t="n"/>
      <c r="C57" s="32" t="n"/>
      <c r="D57" s="32" t="n"/>
      <c r="E57" s="32" t="n"/>
      <c r="F57" s="32" t="n"/>
      <c r="G57" s="32" t="n"/>
      <c r="H57" s="32" t="n"/>
      <c r="I57" s="32" t="n"/>
      <c r="J57" s="32" t="n"/>
      <c r="K57" s="32" t="n"/>
      <c r="L57" s="32" t="n"/>
      <c r="M57" s="32" t="n"/>
      <c r="N57" s="32" t="n"/>
      <c r="O57" s="32" t="n"/>
      <c r="P57" s="32" t="n"/>
      <c r="Q57" s="32" t="n"/>
      <c r="R57" s="32" t="n"/>
      <c r="S57" s="32" t="n"/>
      <c r="T57" s="32" t="n"/>
      <c r="U57" s="32" t="n"/>
      <c r="V57" s="32" t="n"/>
      <c r="W57" s="32" t="n"/>
      <c r="X57" s="32" t="n"/>
      <c r="Y57" s="32" t="n"/>
      <c r="Z57" s="32" t="n"/>
      <c r="AA57" s="32" t="n"/>
      <c r="AB57" s="32" t="n"/>
      <c r="AC57" s="32" t="n"/>
      <c r="AD57" s="32" t="n"/>
      <c r="AE57" s="32" t="n"/>
      <c r="AF57" s="7">
        <f>IF(COUNT(E57:M57)=9,ROUND(SUM(E57:M57),2),"")</f>
        <v/>
      </c>
      <c r="AG57" s="7">
        <f>IF(COUNT(N57:S57)=6,ROUND(SUM(N57:S57),2),"")</f>
        <v/>
      </c>
      <c r="AH57" s="7">
        <f>IF(COUNT(T57:Y57)=6,ROUND(SUM(T57:Y57),2),"")</f>
        <v/>
      </c>
      <c r="AI57" s="7">
        <f>IF(COUNT(Z57:AE57)=6,ROUND(SUM(Z57:AE57),2),"")</f>
        <v/>
      </c>
      <c r="AJ57" s="33">
        <f>IF(COUNT(AF57:AI57)=4,ROUND(SUM(AF57:AI57),2),"")</f>
        <v/>
      </c>
      <c r="AK57" s="7">
        <f>IF(AF57="","",IF(AF57&gt;=2.0,"Đạt","Chưa đạt"))</f>
        <v/>
      </c>
      <c r="AL57" s="7">
        <f>IF(AG57="","",IF(AG57&gt;=1.0,"Đạt","Chưa đạt"))</f>
        <v/>
      </c>
      <c r="AM57" s="7">
        <f>IF(AH57="","",IF(AH57&gt;=1.0,"Đạt","Chưa đạt"))</f>
        <v/>
      </c>
      <c r="AN57" s="7">
        <f>IF(AI57="","",IF(AI57&gt;=1.0,"Đạt","Chưa đạt"))</f>
        <v/>
      </c>
      <c r="AO57" s="32" t="n"/>
    </row>
    <row r="58">
      <c r="A58" s="7" t="n">
        <v>55</v>
      </c>
      <c r="B58" s="32" t="n"/>
      <c r="C58" s="32" t="n"/>
      <c r="D58" s="32" t="n"/>
      <c r="E58" s="32" t="n"/>
      <c r="F58" s="32" t="n"/>
      <c r="G58" s="32" t="n"/>
      <c r="H58" s="32" t="n"/>
      <c r="I58" s="32" t="n"/>
      <c r="J58" s="32" t="n"/>
      <c r="K58" s="32" t="n"/>
      <c r="L58" s="32" t="n"/>
      <c r="M58" s="32" t="n"/>
      <c r="N58" s="32" t="n"/>
      <c r="O58" s="32" t="n"/>
      <c r="P58" s="32" t="n"/>
      <c r="Q58" s="32" t="n"/>
      <c r="R58" s="32" t="n"/>
      <c r="S58" s="32" t="n"/>
      <c r="T58" s="32" t="n"/>
      <c r="U58" s="32" t="n"/>
      <c r="V58" s="32" t="n"/>
      <c r="W58" s="32" t="n"/>
      <c r="X58" s="32" t="n"/>
      <c r="Y58" s="32" t="n"/>
      <c r="Z58" s="32" t="n"/>
      <c r="AA58" s="32" t="n"/>
      <c r="AB58" s="32" t="n"/>
      <c r="AC58" s="32" t="n"/>
      <c r="AD58" s="32" t="n"/>
      <c r="AE58" s="32" t="n"/>
      <c r="AF58" s="7">
        <f>IF(COUNT(E58:M58)=9,ROUND(SUM(E58:M58),2),"")</f>
        <v/>
      </c>
      <c r="AG58" s="7">
        <f>IF(COUNT(N58:S58)=6,ROUND(SUM(N58:S58),2),"")</f>
        <v/>
      </c>
      <c r="AH58" s="7">
        <f>IF(COUNT(T58:Y58)=6,ROUND(SUM(T58:Y58),2),"")</f>
        <v/>
      </c>
      <c r="AI58" s="7">
        <f>IF(COUNT(Z58:AE58)=6,ROUND(SUM(Z58:AE58),2),"")</f>
        <v/>
      </c>
      <c r="AJ58" s="33">
        <f>IF(COUNT(AF58:AI58)=4,ROUND(SUM(AF58:AI58),2),"")</f>
        <v/>
      </c>
      <c r="AK58" s="7">
        <f>IF(AF58="","",IF(AF58&gt;=2.0,"Đạt","Chưa đạt"))</f>
        <v/>
      </c>
      <c r="AL58" s="7">
        <f>IF(AG58="","",IF(AG58&gt;=1.0,"Đạt","Chưa đạt"))</f>
        <v/>
      </c>
      <c r="AM58" s="7">
        <f>IF(AH58="","",IF(AH58&gt;=1.0,"Đạt","Chưa đạt"))</f>
        <v/>
      </c>
      <c r="AN58" s="7">
        <f>IF(AI58="","",IF(AI58&gt;=1.0,"Đạt","Chưa đạt"))</f>
        <v/>
      </c>
      <c r="AO58" s="32" t="n"/>
    </row>
    <row r="59">
      <c r="A59" s="7" t="n">
        <v>56</v>
      </c>
      <c r="B59" s="32" t="n"/>
      <c r="C59" s="32" t="n"/>
      <c r="D59" s="32" t="n"/>
      <c r="E59" s="32" t="n"/>
      <c r="F59" s="32" t="n"/>
      <c r="G59" s="32" t="n"/>
      <c r="H59" s="32" t="n"/>
      <c r="I59" s="32" t="n"/>
      <c r="J59" s="32" t="n"/>
      <c r="K59" s="32" t="n"/>
      <c r="L59" s="32" t="n"/>
      <c r="M59" s="32" t="n"/>
      <c r="N59" s="32" t="n"/>
      <c r="O59" s="32" t="n"/>
      <c r="P59" s="32" t="n"/>
      <c r="Q59" s="32" t="n"/>
      <c r="R59" s="32" t="n"/>
      <c r="S59" s="32" t="n"/>
      <c r="T59" s="32" t="n"/>
      <c r="U59" s="32" t="n"/>
      <c r="V59" s="32" t="n"/>
      <c r="W59" s="32" t="n"/>
      <c r="X59" s="32" t="n"/>
      <c r="Y59" s="32" t="n"/>
      <c r="Z59" s="32" t="n"/>
      <c r="AA59" s="32" t="n"/>
      <c r="AB59" s="32" t="n"/>
      <c r="AC59" s="32" t="n"/>
      <c r="AD59" s="32" t="n"/>
      <c r="AE59" s="32" t="n"/>
      <c r="AF59" s="7">
        <f>IF(COUNT(E59:M59)=9,ROUND(SUM(E59:M59),2),"")</f>
        <v/>
      </c>
      <c r="AG59" s="7">
        <f>IF(COUNT(N59:S59)=6,ROUND(SUM(N59:S59),2),"")</f>
        <v/>
      </c>
      <c r="AH59" s="7">
        <f>IF(COUNT(T59:Y59)=6,ROUND(SUM(T59:Y59),2),"")</f>
        <v/>
      </c>
      <c r="AI59" s="7">
        <f>IF(COUNT(Z59:AE59)=6,ROUND(SUM(Z59:AE59),2),"")</f>
        <v/>
      </c>
      <c r="AJ59" s="33">
        <f>IF(COUNT(AF59:AI59)=4,ROUND(SUM(AF59:AI59),2),"")</f>
        <v/>
      </c>
      <c r="AK59" s="7">
        <f>IF(AF59="","",IF(AF59&gt;=2.0,"Đạt","Chưa đạt"))</f>
        <v/>
      </c>
      <c r="AL59" s="7">
        <f>IF(AG59="","",IF(AG59&gt;=1.0,"Đạt","Chưa đạt"))</f>
        <v/>
      </c>
      <c r="AM59" s="7">
        <f>IF(AH59="","",IF(AH59&gt;=1.0,"Đạt","Chưa đạt"))</f>
        <v/>
      </c>
      <c r="AN59" s="7">
        <f>IF(AI59="","",IF(AI59&gt;=1.0,"Đạt","Chưa đạt"))</f>
        <v/>
      </c>
      <c r="AO59" s="32" t="n"/>
    </row>
    <row r="60">
      <c r="A60" s="7" t="n">
        <v>57</v>
      </c>
      <c r="B60" s="32" t="n"/>
      <c r="C60" s="32" t="n"/>
      <c r="D60" s="32" t="n"/>
      <c r="E60" s="32" t="n"/>
      <c r="F60" s="32" t="n"/>
      <c r="G60" s="32" t="n"/>
      <c r="H60" s="32" t="n"/>
      <c r="I60" s="32" t="n"/>
      <c r="J60" s="32" t="n"/>
      <c r="K60" s="32" t="n"/>
      <c r="L60" s="32" t="n"/>
      <c r="M60" s="32" t="n"/>
      <c r="N60" s="32" t="n"/>
      <c r="O60" s="32" t="n"/>
      <c r="P60" s="32" t="n"/>
      <c r="Q60" s="32" t="n"/>
      <c r="R60" s="32" t="n"/>
      <c r="S60" s="32" t="n"/>
      <c r="T60" s="32" t="n"/>
      <c r="U60" s="32" t="n"/>
      <c r="V60" s="32" t="n"/>
      <c r="W60" s="32" t="n"/>
      <c r="X60" s="32" t="n"/>
      <c r="Y60" s="32" t="n"/>
      <c r="Z60" s="32" t="n"/>
      <c r="AA60" s="32" t="n"/>
      <c r="AB60" s="32" t="n"/>
      <c r="AC60" s="32" t="n"/>
      <c r="AD60" s="32" t="n"/>
      <c r="AE60" s="32" t="n"/>
      <c r="AF60" s="7">
        <f>IF(COUNT(E60:M60)=9,ROUND(SUM(E60:M60),2),"")</f>
        <v/>
      </c>
      <c r="AG60" s="7">
        <f>IF(COUNT(N60:S60)=6,ROUND(SUM(N60:S60),2),"")</f>
        <v/>
      </c>
      <c r="AH60" s="7">
        <f>IF(COUNT(T60:Y60)=6,ROUND(SUM(T60:Y60),2),"")</f>
        <v/>
      </c>
      <c r="AI60" s="7">
        <f>IF(COUNT(Z60:AE60)=6,ROUND(SUM(Z60:AE60),2),"")</f>
        <v/>
      </c>
      <c r="AJ60" s="33">
        <f>IF(COUNT(AF60:AI60)=4,ROUND(SUM(AF60:AI60),2),"")</f>
        <v/>
      </c>
      <c r="AK60" s="7">
        <f>IF(AF60="","",IF(AF60&gt;=2.0,"Đạt","Chưa đạt"))</f>
        <v/>
      </c>
      <c r="AL60" s="7">
        <f>IF(AG60="","",IF(AG60&gt;=1.0,"Đạt","Chưa đạt"))</f>
        <v/>
      </c>
      <c r="AM60" s="7">
        <f>IF(AH60="","",IF(AH60&gt;=1.0,"Đạt","Chưa đạt"))</f>
        <v/>
      </c>
      <c r="AN60" s="7">
        <f>IF(AI60="","",IF(AI60&gt;=1.0,"Đạt","Chưa đạt"))</f>
        <v/>
      </c>
      <c r="AO60" s="32" t="n"/>
    </row>
    <row r="61">
      <c r="A61" s="7" t="n">
        <v>58</v>
      </c>
      <c r="B61" s="32" t="n"/>
      <c r="C61" s="32" t="n"/>
      <c r="D61" s="32" t="n"/>
      <c r="E61" s="32" t="n"/>
      <c r="F61" s="32" t="n"/>
      <c r="G61" s="32" t="n"/>
      <c r="H61" s="32" t="n"/>
      <c r="I61" s="32" t="n"/>
      <c r="J61" s="32" t="n"/>
      <c r="K61" s="32" t="n"/>
      <c r="L61" s="32" t="n"/>
      <c r="M61" s="32" t="n"/>
      <c r="N61" s="32" t="n"/>
      <c r="O61" s="32" t="n"/>
      <c r="P61" s="32" t="n"/>
      <c r="Q61" s="32" t="n"/>
      <c r="R61" s="32" t="n"/>
      <c r="S61" s="32" t="n"/>
      <c r="T61" s="32" t="n"/>
      <c r="U61" s="32" t="n"/>
      <c r="V61" s="32" t="n"/>
      <c r="W61" s="32" t="n"/>
      <c r="X61" s="32" t="n"/>
      <c r="Y61" s="32" t="n"/>
      <c r="Z61" s="32" t="n"/>
      <c r="AA61" s="32" t="n"/>
      <c r="AB61" s="32" t="n"/>
      <c r="AC61" s="32" t="n"/>
      <c r="AD61" s="32" t="n"/>
      <c r="AE61" s="32" t="n"/>
      <c r="AF61" s="7">
        <f>IF(COUNT(E61:M61)=9,ROUND(SUM(E61:M61),2),"")</f>
        <v/>
      </c>
      <c r="AG61" s="7">
        <f>IF(COUNT(N61:S61)=6,ROUND(SUM(N61:S61),2),"")</f>
        <v/>
      </c>
      <c r="AH61" s="7">
        <f>IF(COUNT(T61:Y61)=6,ROUND(SUM(T61:Y61),2),"")</f>
        <v/>
      </c>
      <c r="AI61" s="7">
        <f>IF(COUNT(Z61:AE61)=6,ROUND(SUM(Z61:AE61),2),"")</f>
        <v/>
      </c>
      <c r="AJ61" s="33">
        <f>IF(COUNT(AF61:AI61)=4,ROUND(SUM(AF61:AI61),2),"")</f>
        <v/>
      </c>
      <c r="AK61" s="7">
        <f>IF(AF61="","",IF(AF61&gt;=2.0,"Đạt","Chưa đạt"))</f>
        <v/>
      </c>
      <c r="AL61" s="7">
        <f>IF(AG61="","",IF(AG61&gt;=1.0,"Đạt","Chưa đạt"))</f>
        <v/>
      </c>
      <c r="AM61" s="7">
        <f>IF(AH61="","",IF(AH61&gt;=1.0,"Đạt","Chưa đạt"))</f>
        <v/>
      </c>
      <c r="AN61" s="7">
        <f>IF(AI61="","",IF(AI61&gt;=1.0,"Đạt","Chưa đạt"))</f>
        <v/>
      </c>
      <c r="AO61" s="32" t="n"/>
    </row>
    <row r="62">
      <c r="A62" s="7" t="n">
        <v>59</v>
      </c>
      <c r="B62" s="32" t="n"/>
      <c r="C62" s="32" t="n"/>
      <c r="D62" s="32" t="n"/>
      <c r="E62" s="32" t="n"/>
      <c r="F62" s="32" t="n"/>
      <c r="G62" s="32" t="n"/>
      <c r="H62" s="32" t="n"/>
      <c r="I62" s="32" t="n"/>
      <c r="J62" s="32" t="n"/>
      <c r="K62" s="32" t="n"/>
      <c r="L62" s="32" t="n"/>
      <c r="M62" s="32" t="n"/>
      <c r="N62" s="32" t="n"/>
      <c r="O62" s="32" t="n"/>
      <c r="P62" s="32" t="n"/>
      <c r="Q62" s="32" t="n"/>
      <c r="R62" s="32" t="n"/>
      <c r="S62" s="32" t="n"/>
      <c r="T62" s="32" t="n"/>
      <c r="U62" s="32" t="n"/>
      <c r="V62" s="32" t="n"/>
      <c r="W62" s="32" t="n"/>
      <c r="X62" s="32" t="n"/>
      <c r="Y62" s="32" t="n"/>
      <c r="Z62" s="32" t="n"/>
      <c r="AA62" s="32" t="n"/>
      <c r="AB62" s="32" t="n"/>
      <c r="AC62" s="32" t="n"/>
      <c r="AD62" s="32" t="n"/>
      <c r="AE62" s="32" t="n"/>
      <c r="AF62" s="7">
        <f>IF(COUNT(E62:M62)=9,ROUND(SUM(E62:M62),2),"")</f>
        <v/>
      </c>
      <c r="AG62" s="7">
        <f>IF(COUNT(N62:S62)=6,ROUND(SUM(N62:S62),2),"")</f>
        <v/>
      </c>
      <c r="AH62" s="7">
        <f>IF(COUNT(T62:Y62)=6,ROUND(SUM(T62:Y62),2),"")</f>
        <v/>
      </c>
      <c r="AI62" s="7">
        <f>IF(COUNT(Z62:AE62)=6,ROUND(SUM(Z62:AE62),2),"")</f>
        <v/>
      </c>
      <c r="AJ62" s="33">
        <f>IF(COUNT(AF62:AI62)=4,ROUND(SUM(AF62:AI62),2),"")</f>
        <v/>
      </c>
      <c r="AK62" s="7">
        <f>IF(AF62="","",IF(AF62&gt;=2.0,"Đạt","Chưa đạt"))</f>
        <v/>
      </c>
      <c r="AL62" s="7">
        <f>IF(AG62="","",IF(AG62&gt;=1.0,"Đạt","Chưa đạt"))</f>
        <v/>
      </c>
      <c r="AM62" s="7">
        <f>IF(AH62="","",IF(AH62&gt;=1.0,"Đạt","Chưa đạt"))</f>
        <v/>
      </c>
      <c r="AN62" s="7">
        <f>IF(AI62="","",IF(AI62&gt;=1.0,"Đạt","Chưa đạt"))</f>
        <v/>
      </c>
      <c r="AO62" s="32" t="n"/>
    </row>
    <row r="63">
      <c r="A63" s="7" t="n">
        <v>60</v>
      </c>
      <c r="B63" s="32" t="n"/>
      <c r="C63" s="32" t="n"/>
      <c r="D63" s="32" t="n"/>
      <c r="E63" s="32" t="n"/>
      <c r="F63" s="32" t="n"/>
      <c r="G63" s="32" t="n"/>
      <c r="H63" s="32" t="n"/>
      <c r="I63" s="32" t="n"/>
      <c r="J63" s="32" t="n"/>
      <c r="K63" s="32" t="n"/>
      <c r="L63" s="32" t="n"/>
      <c r="M63" s="32" t="n"/>
      <c r="N63" s="32" t="n"/>
      <c r="O63" s="32" t="n"/>
      <c r="P63" s="32" t="n"/>
      <c r="Q63" s="32" t="n"/>
      <c r="R63" s="32" t="n"/>
      <c r="S63" s="32" t="n"/>
      <c r="T63" s="32" t="n"/>
      <c r="U63" s="32" t="n"/>
      <c r="V63" s="32" t="n"/>
      <c r="W63" s="32" t="n"/>
      <c r="X63" s="32" t="n"/>
      <c r="Y63" s="32" t="n"/>
      <c r="Z63" s="32" t="n"/>
      <c r="AA63" s="32" t="n"/>
      <c r="AB63" s="32" t="n"/>
      <c r="AC63" s="32" t="n"/>
      <c r="AD63" s="32" t="n"/>
      <c r="AE63" s="32" t="n"/>
      <c r="AF63" s="7">
        <f>IF(COUNT(E63:M63)=9,ROUND(SUM(E63:M63),2),"")</f>
        <v/>
      </c>
      <c r="AG63" s="7">
        <f>IF(COUNT(N63:S63)=6,ROUND(SUM(N63:S63),2),"")</f>
        <v/>
      </c>
      <c r="AH63" s="7">
        <f>IF(COUNT(T63:Y63)=6,ROUND(SUM(T63:Y63),2),"")</f>
        <v/>
      </c>
      <c r="AI63" s="7">
        <f>IF(COUNT(Z63:AE63)=6,ROUND(SUM(Z63:AE63),2),"")</f>
        <v/>
      </c>
      <c r="AJ63" s="33">
        <f>IF(COUNT(AF63:AI63)=4,ROUND(SUM(AF63:AI63),2),"")</f>
        <v/>
      </c>
      <c r="AK63" s="7">
        <f>IF(AF63="","",IF(AF63&gt;=2.0,"Đạt","Chưa đạt"))</f>
        <v/>
      </c>
      <c r="AL63" s="7">
        <f>IF(AG63="","",IF(AG63&gt;=1.0,"Đạt","Chưa đạt"))</f>
        <v/>
      </c>
      <c r="AM63" s="7">
        <f>IF(AH63="","",IF(AH63&gt;=1.0,"Đạt","Chưa đạt"))</f>
        <v/>
      </c>
      <c r="AN63" s="7">
        <f>IF(AI63="","",IF(AI63&gt;=1.0,"Đạt","Chưa đạt"))</f>
        <v/>
      </c>
      <c r="AO63" s="32" t="n"/>
    </row>
  </sheetData>
  <mergeCells count="12">
    <mergeCell ref="AK1:AN1"/>
    <mergeCell ref="A1:A3"/>
    <mergeCell ref="AO1:AO2"/>
    <mergeCell ref="D1:D3"/>
    <mergeCell ref="B1:B3"/>
    <mergeCell ref="E1:M1"/>
    <mergeCell ref="C1:C3"/>
    <mergeCell ref="Z1:AE1"/>
    <mergeCell ref="T1:Y1"/>
    <mergeCell ref="N1:S1"/>
    <mergeCell ref="AF1:AI1"/>
    <mergeCell ref="AJ1:AJ2"/>
  </mergeCells>
  <conditionalFormatting sqref="AK4:AN63">
    <cfRule type="cellIs" priority="1" operator="equal" dxfId="0">
      <formula>"Chưa đạt"</formula>
    </cfRule>
    <cfRule type="cellIs" priority="2" operator="equal" dxfId="1">
      <formula>"Đạt"</formula>
    </cfRule>
  </conditionalFormatting>
  <dataValidations count="27">
    <dataValidation sqref="E4:E63" showDropDown="0" showInputMessage="0" showErrorMessage="1" allowBlank="1" errorTitle="Điểm không hợp lệ" error="Tiêu chí 1.1: nhập từ 0 đến 0.5" type="decimal" operator="between">
      <formula1>0</formula1>
      <formula2>0.5</formula2>
    </dataValidation>
    <dataValidation sqref="F4:F63" showDropDown="0" showInputMessage="0" showErrorMessage="1" allowBlank="1" errorTitle="Điểm không hợp lệ" error="Tiêu chí 1.2: nhập từ 0 đến 0.5" type="decimal" operator="between">
      <formula1>0</formula1>
      <formula2>0.5</formula2>
    </dataValidation>
    <dataValidation sqref="G4:G63" showDropDown="0" showInputMessage="0" showErrorMessage="1" allowBlank="1" errorTitle="Điểm không hợp lệ" error="Tiêu chí 1.3: nhập từ 0 đến 0.5" type="decimal" operator="between">
      <formula1>0</formula1>
      <formula2>0.5</formula2>
    </dataValidation>
    <dataValidation sqref="H4:H63" showDropDown="0" showInputMessage="0" showErrorMessage="1" allowBlank="1" errorTitle="Điểm không hợp lệ" error="Tiêu chí 1.4: nhập từ 0 đến 0.5" type="decimal" operator="between">
      <formula1>0</formula1>
      <formula2>0.5</formula2>
    </dataValidation>
    <dataValidation sqref="I4:I63" showDropDown="0" showInputMessage="0" showErrorMessage="1" allowBlank="1" errorTitle="Điểm không hợp lệ" error="Tiêu chí 1.5: nhập từ 0 đến 0.5" type="decimal" operator="between">
      <formula1>0</formula1>
      <formula2>0.5</formula2>
    </dataValidation>
    <dataValidation sqref="J4:J63" showDropDown="0" showInputMessage="0" showErrorMessage="1" allowBlank="1" errorTitle="Điểm không hợp lệ" error="Tiêu chí 1.6: nhập từ 0 đến 0.4" type="decimal" operator="between">
      <formula1>0</formula1>
      <formula2>0.4</formula2>
    </dataValidation>
    <dataValidation sqref="K4:K63" showDropDown="0" showInputMessage="0" showErrorMessage="1" allowBlank="1" errorTitle="Điểm không hợp lệ" error="Tiêu chí 1.7: nhập từ 0 đến 0.4" type="decimal" operator="between">
      <formula1>0</formula1>
      <formula2>0.4</formula2>
    </dataValidation>
    <dataValidation sqref="L4:L63" showDropDown="0" showInputMessage="0" showErrorMessage="1" allowBlank="1" errorTitle="Điểm không hợp lệ" error="Tiêu chí 1.8: nhập từ 0 đến 0.4" type="decimal" operator="between">
      <formula1>0</formula1>
      <formula2>0.4</formula2>
    </dataValidation>
    <dataValidation sqref="M4:M63" showDropDown="0" showInputMessage="0" showErrorMessage="1" allowBlank="1" errorTitle="Điểm không hợp lệ" error="Tiêu chí 1.9: nhập từ 0 đến 0.3" type="decimal" operator="between">
      <formula1>0</formula1>
      <formula2>0.3</formula2>
    </dataValidation>
    <dataValidation sqref="N4:N63" showDropDown="0" showInputMessage="0" showErrorMessage="1" allowBlank="1" errorTitle="Điểm không hợp lệ" error="Tiêu chí 2.1: nhập từ 0 đến 0.3" type="decimal" operator="between">
      <formula1>0</formula1>
      <formula2>0.3</formula2>
    </dataValidation>
    <dataValidation sqref="O4:O63" showDropDown="0" showInputMessage="0" showErrorMessage="1" allowBlank="1" errorTitle="Điểm không hợp lệ" error="Tiêu chí 2.2: nhập từ 0 đến 0.5" type="decimal" operator="between">
      <formula1>0</formula1>
      <formula2>0.5</formula2>
    </dataValidation>
    <dataValidation sqref="P4:P63" showDropDown="0" showInputMessage="0" showErrorMessage="1" allowBlank="1" errorTitle="Điểm không hợp lệ" error="Tiêu chí 2.3: nhập từ 0 đến 0.4" type="decimal" operator="between">
      <formula1>0</formula1>
      <formula2>0.4</formula2>
    </dataValidation>
    <dataValidation sqref="Q4:Q63" showDropDown="0" showInputMessage="0" showErrorMessage="1" allowBlank="1" errorTitle="Điểm không hợp lệ" error="Tiêu chí 2.4: nhập từ 0 đến 0.3" type="decimal" operator="between">
      <formula1>0</formula1>
      <formula2>0.3</formula2>
    </dataValidation>
    <dataValidation sqref="R4:R63" showDropDown="0" showInputMessage="0" showErrorMessage="1" allowBlank="1" errorTitle="Điểm không hợp lệ" error="Tiêu chí 2.5: nhập từ 0 đến 0.3" type="decimal" operator="between">
      <formula1>0</formula1>
      <formula2>0.3</formula2>
    </dataValidation>
    <dataValidation sqref="S4:S63" showDropDown="0" showInputMessage="0" showErrorMessage="1" allowBlank="1" errorTitle="Điểm không hợp lệ" error="Tiêu chí 2.6: nhập từ 0 đến 0.2" type="decimal" operator="between">
      <formula1>0</formula1>
      <formula2>0.2</formula2>
    </dataValidation>
    <dataValidation sqref="T4:T63" showDropDown="0" showInputMessage="0" showErrorMessage="1" allowBlank="1" errorTitle="Điểm không hợp lệ" error="Tiêu chí 3.1: nhập từ 0 đến 0.4" type="decimal" operator="between">
      <formula1>0</formula1>
      <formula2>0.4</formula2>
    </dataValidation>
    <dataValidation sqref="U4:U63" showDropDown="0" showInputMessage="0" showErrorMessage="1" allowBlank="1" errorTitle="Điểm không hợp lệ" error="Tiêu chí 3.2: nhập từ 0 đến 0.4" type="decimal" operator="between">
      <formula1>0</formula1>
      <formula2>0.4</formula2>
    </dataValidation>
    <dataValidation sqref="V4:V63" showDropDown="0" showInputMessage="0" showErrorMessage="1" allowBlank="1" errorTitle="Điểm không hợp lệ" error="Tiêu chí 3.3: nhập từ 0 đến 0.4" type="decimal" operator="between">
      <formula1>0</formula1>
      <formula2>0.4</formula2>
    </dataValidation>
    <dataValidation sqref="W4:W63" showDropDown="0" showInputMessage="0" showErrorMessage="1" allowBlank="1" errorTitle="Điểm không hợp lệ" error="Tiêu chí 3.4: nhập từ 0 đến 0.3" type="decimal" operator="between">
      <formula1>0</formula1>
      <formula2>0.3</formula2>
    </dataValidation>
    <dataValidation sqref="X4:X63" showDropDown="0" showInputMessage="0" showErrorMessage="1" allowBlank="1" errorTitle="Điểm không hợp lệ" error="Tiêu chí 3.5: nhập từ 0 đến 0.2" type="decimal" operator="between">
      <formula1>0</formula1>
      <formula2>0.2</formula2>
    </dataValidation>
    <dataValidation sqref="Y4:Y63" showDropDown="0" showInputMessage="0" showErrorMessage="1" allowBlank="1" errorTitle="Điểm không hợp lệ" error="Tiêu chí 3.6: nhập từ 0 đến 0.3" type="decimal" operator="between">
      <formula1>0</formula1>
      <formula2>0.3</formula2>
    </dataValidation>
    <dataValidation sqref="Z4:Z63" showDropDown="0" showInputMessage="0" showErrorMessage="1" allowBlank="1" errorTitle="Điểm không hợp lệ" error="Tiêu chí 4.1: nhập từ 0 đến 0.4" type="decimal" operator="between">
      <formula1>0</formula1>
      <formula2>0.4</formula2>
    </dataValidation>
    <dataValidation sqref="AA4:AA63" showDropDown="0" showInputMessage="0" showErrorMessage="1" allowBlank="1" errorTitle="Điểm không hợp lệ" error="Tiêu chí 4.2: nhập từ 0 đến 0.3" type="decimal" operator="between">
      <formula1>0</formula1>
      <formula2>0.3</formula2>
    </dataValidation>
    <dataValidation sqref="AB4:AB63" showDropDown="0" showInputMessage="0" showErrorMessage="1" allowBlank="1" errorTitle="Điểm không hợp lệ" error="Tiêu chí 4.3: nhập từ 0 đến 0.3" type="decimal" operator="between">
      <formula1>0</formula1>
      <formula2>0.3</formula2>
    </dataValidation>
    <dataValidation sqref="AC4:AC63" showDropDown="0" showInputMessage="0" showErrorMessage="1" allowBlank="1" errorTitle="Điểm không hợp lệ" error="Tiêu chí 4.4: nhập từ 0 đến 0.4" type="decimal" operator="between">
      <formula1>0</formula1>
      <formula2>0.4</formula2>
    </dataValidation>
    <dataValidation sqref="AD4:AD63" showDropDown="0" showInputMessage="0" showErrorMessage="1" allowBlank="1" errorTitle="Điểm không hợp lệ" error="Tiêu chí 4.5: nhập từ 0 đến 0.4" type="decimal" operator="between">
      <formula1>0</formula1>
      <formula2>0.4</formula2>
    </dataValidation>
    <dataValidation sqref="AE4:AE63" showDropDown="0" showInputMessage="0" showErrorMessage="1" allowBlank="1" errorTitle="Điểm không hợp lệ" error="Tiêu chí 4.6: nhập từ 0 đến 0.2" type="decimal" operator="between">
      <formula1>0</formula1>
      <formula2>0.2</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10" customWidth="1" min="1" max="1"/>
    <col width="50" customWidth="1" min="2" max="2"/>
    <col width="12" customWidth="1" min="3" max="3"/>
    <col width="14" customWidth="1" min="4" max="4"/>
    <col width="14" customWidth="1" min="5" max="5"/>
    <col width="14" customWidth="1" min="6" max="6"/>
    <col width="12" customWidth="1" min="7" max="7"/>
    <col width="14" customWidth="1" min="8" max="8"/>
    <col width="18" customWidth="1" min="9" max="9"/>
  </cols>
  <sheetData>
    <row r="1">
      <c r="A1" s="34" t="inlineStr">
        <is>
          <t>MỨC ĐẠT CLO - Lập trình ứng dụng web (111102)</t>
        </is>
      </c>
    </row>
    <row r="2">
      <c r="A2" s="35" t="inlineStr">
        <is>
          <t>Sinh viên đạt một CLO khi được ít nhất 50% điểm tối đa của CLO đó. CLO đạt ở cấp lớp khi ít nhất 75% số sinh viên đạt. Minh chứng chính là báo cáo đồ án; Demo Day dùng để kiểm chứng sản phẩm và phần phụ trách của từng thành viên.</t>
        </is>
      </c>
    </row>
    <row r="4">
      <c r="A4" s="5" t="inlineStr">
        <is>
          <t>CLO</t>
        </is>
      </c>
      <c r="B4" s="5" t="inlineStr">
        <is>
          <t>Nội dung</t>
        </is>
      </c>
      <c r="C4" s="5" t="inlineStr">
        <is>
          <t>Điểm tối đa</t>
        </is>
      </c>
      <c r="D4" s="5" t="inlineStr">
        <is>
          <t>Ngưỡng SV đạt</t>
        </is>
      </c>
      <c r="E4" s="5" t="inlineStr">
        <is>
          <t>Số SV có điểm</t>
        </is>
      </c>
      <c r="F4" s="5" t="inlineStr">
        <is>
          <t>Số SV đạt</t>
        </is>
      </c>
      <c r="G4" s="5" t="inlineStr">
        <is>
          <t>Tỷ lệ đạt</t>
        </is>
      </c>
      <c r="H4" s="5" t="inlineStr">
        <is>
          <t>Điểm TB</t>
        </is>
      </c>
      <c r="I4" s="5" t="inlineStr">
        <is>
          <t>Kết luận cấp lớp</t>
        </is>
      </c>
    </row>
    <row r="5">
      <c r="A5" s="7" t="inlineStr">
        <is>
          <t>CLO1</t>
        </is>
      </c>
      <c r="B5" s="9" t="inlineStr">
        <is>
          <t>Phân tích các thành phần chức năng của ứng dụng web phù hợp với mô hình đã phân tích</t>
        </is>
      </c>
      <c r="C5" s="7" t="n">
        <v>4</v>
      </c>
      <c r="D5" s="7" t="n">
        <v>2</v>
      </c>
      <c r="E5" s="7">
        <f>COUNT('Bảng điểm'!AF4:AF63)</f>
        <v/>
      </c>
      <c r="F5" s="7">
        <f>COUNTIF('Bảng điểm'!AK4:AK63,"Đạt")</f>
        <v/>
      </c>
      <c r="G5" s="36">
        <f>IF(E5=0,"",F5/E5)</f>
        <v/>
      </c>
      <c r="H5" s="7">
        <f>IF(E5=0,"",ROUND(AVERAGE('Bảng điểm'!AF4:AF63),2))</f>
        <v/>
      </c>
      <c r="I5" s="7">
        <f>IF(E5=0,"",IF(G5&gt;=0.75,"Đạt","Chưa đạt"))</f>
        <v/>
      </c>
    </row>
    <row r="6">
      <c r="A6" s="7" t="inlineStr">
        <is>
          <t>CLO2</t>
        </is>
      </c>
      <c r="B6" s="9" t="inlineStr">
        <is>
          <t>Thực hiện các bài kiểm thử để kiểm tra các yêu cầu chức năng phù hợp với các mục tiêu dự án</t>
        </is>
      </c>
      <c r="C6" s="7" t="n">
        <v>2</v>
      </c>
      <c r="D6" s="7" t="n">
        <v>1</v>
      </c>
      <c r="E6" s="7">
        <f>COUNT('Bảng điểm'!AG4:AG63)</f>
        <v/>
      </c>
      <c r="F6" s="7">
        <f>COUNTIF('Bảng điểm'!AL4:AL63,"Đạt")</f>
        <v/>
      </c>
      <c r="G6" s="36">
        <f>IF(E6=0,"",F6/E6)</f>
        <v/>
      </c>
      <c r="H6" s="7">
        <f>IF(E6=0,"",ROUND(AVERAGE('Bảng điểm'!AG4:AG63),2))</f>
        <v/>
      </c>
      <c r="I6" s="7">
        <f>IF(E6=0,"",IF(G6&gt;=0.75,"Đạt","Chưa đạt"))</f>
        <v/>
      </c>
    </row>
    <row r="7">
      <c r="A7" s="7" t="inlineStr">
        <is>
          <t>CLO3</t>
        </is>
      </c>
      <c r="B7" s="9" t="inlineStr">
        <is>
          <t>Viết báo cáo trình bày nội dung các công việc đã thực hiện bằng văn bản một cách hợp lý và đúng quy định về định dạng</t>
        </is>
      </c>
      <c r="C7" s="7" t="n">
        <v>2</v>
      </c>
      <c r="D7" s="7" t="n">
        <v>1</v>
      </c>
      <c r="E7" s="7">
        <f>COUNT('Bảng điểm'!AH4:AH63)</f>
        <v/>
      </c>
      <c r="F7" s="7">
        <f>COUNTIF('Bảng điểm'!AM4:AM63,"Đạt")</f>
        <v/>
      </c>
      <c r="G7" s="36">
        <f>IF(E7=0,"",F7/E7)</f>
        <v/>
      </c>
      <c r="H7" s="7">
        <f>IF(E7=0,"",ROUND(AVERAGE('Bảng điểm'!AH4:AH63),2))</f>
        <v/>
      </c>
      <c r="I7" s="7">
        <f>IF(E7=0,"",IF(G7&gt;=0.75,"Đạt","Chưa đạt"))</f>
        <v/>
      </c>
    </row>
    <row r="8">
      <c r="A8" s="7" t="inlineStr">
        <is>
          <t>CLO4</t>
        </is>
      </c>
      <c r="B8" s="9" t="inlineStr">
        <is>
          <t>Sử dụng kỹ năng trong việc sắp xếp công việc cá nhân hoặc nhóm phù hợp với mục tiêu công việc đề ra</t>
        </is>
      </c>
      <c r="C8" s="7" t="n">
        <v>2</v>
      </c>
      <c r="D8" s="7" t="n">
        <v>1</v>
      </c>
      <c r="E8" s="7">
        <f>COUNT('Bảng điểm'!AI4:AI63)</f>
        <v/>
      </c>
      <c r="F8" s="7">
        <f>COUNTIF('Bảng điểm'!AN4:AN63,"Đạt")</f>
        <v/>
      </c>
      <c r="G8" s="36">
        <f>IF(E8=0,"",F8/E8)</f>
        <v/>
      </c>
      <c r="H8" s="7">
        <f>IF(E8=0,"",ROUND(AVERAGE('Bảng điểm'!AI4:AI63),2))</f>
        <v/>
      </c>
      <c r="I8" s="7">
        <f>IF(E8=0,"",IF(G8&gt;=0.75,"Đạt","Chưa đạt"))</f>
        <v/>
      </c>
    </row>
    <row r="10">
      <c r="A10" s="37" t="inlineStr">
        <is>
          <t>Điểm trung bình theo tiêu chí</t>
        </is>
      </c>
    </row>
    <row r="11">
      <c r="A11" s="5" t="inlineStr">
        <is>
          <t>Mã</t>
        </is>
      </c>
      <c r="B11" s="5" t="inlineStr">
        <is>
          <t>Tiêu chí</t>
        </is>
      </c>
      <c r="C11" s="5" t="inlineStr">
        <is>
          <t>Điểm tối đa</t>
        </is>
      </c>
      <c r="D11" s="5" t="inlineStr">
        <is>
          <t>Phạm vi</t>
        </is>
      </c>
      <c r="E11" s="5" t="inlineStr">
        <is>
          <t>Số SV có điểm</t>
        </is>
      </c>
      <c r="F11" s="5" t="inlineStr">
        <is>
          <t>Điểm TB</t>
        </is>
      </c>
      <c r="G11" s="5" t="inlineStr">
        <is>
          <t>TB / tối đa</t>
        </is>
      </c>
    </row>
    <row r="12">
      <c r="A12" s="7" t="inlineStr">
        <is>
          <t>1.1</t>
        </is>
      </c>
      <c r="B12" s="9" t="inlineStr">
        <is>
          <t>Phân tích yêu cầu và phạm vi web</t>
        </is>
      </c>
      <c r="C12" s="7" t="n">
        <v>0.5</v>
      </c>
      <c r="D12" s="7" t="inlineStr">
        <is>
          <t>Nhóm</t>
        </is>
      </c>
      <c r="E12" s="7">
        <f>COUNT('Bảng điểm'!E4:E63)</f>
        <v/>
      </c>
      <c r="F12" s="7">
        <f>IF(E12=0,"",ROUND(AVERAGE('Bảng điểm'!E4:E63),2))</f>
        <v/>
      </c>
      <c r="G12" s="38">
        <f>IF(E12=0,"",F12/C12)</f>
        <v/>
      </c>
    </row>
    <row r="13">
      <c r="A13" s="7" t="inlineStr">
        <is>
          <t>1.2</t>
        </is>
      </c>
      <c r="B13" s="9" t="inlineStr">
        <is>
          <t>Sơ đồ chức năng và sitemap</t>
        </is>
      </c>
      <c r="C13" s="7" t="n">
        <v>0.5</v>
      </c>
      <c r="D13" s="7" t="inlineStr">
        <is>
          <t>Nhóm</t>
        </is>
      </c>
      <c r="E13" s="7">
        <f>COUNT('Bảng điểm'!F4:F63)</f>
        <v/>
      </c>
      <c r="F13" s="7">
        <f>IF(E13=0,"",ROUND(AVERAGE('Bảng điểm'!F4:F63),2))</f>
        <v/>
      </c>
      <c r="G13" s="38">
        <f>IF(E13=0,"",F13/C13)</f>
        <v/>
      </c>
    </row>
    <row r="14">
      <c r="A14" s="7" t="inlineStr">
        <is>
          <t>1.3</t>
        </is>
      </c>
      <c r="B14" s="9" t="inlineStr">
        <is>
          <t>Ánh xạ route – chức năng – vai trò – API</t>
        </is>
      </c>
      <c r="C14" s="7" t="n">
        <v>0.5</v>
      </c>
      <c r="D14" s="7" t="inlineStr">
        <is>
          <t>Nhóm</t>
        </is>
      </c>
      <c r="E14" s="7">
        <f>COUNT('Bảng điểm'!G4:G63)</f>
        <v/>
      </c>
      <c r="F14" s="7">
        <f>IF(E14=0,"",ROUND(AVERAGE('Bảng điểm'!G4:G63),2))</f>
        <v/>
      </c>
      <c r="G14" s="38">
        <f>IF(E14=0,"",F14/C14)</f>
        <v/>
      </c>
    </row>
    <row r="15">
      <c r="A15" s="7" t="inlineStr">
        <is>
          <t>1.4</t>
        </is>
      </c>
      <c r="B15" s="9" t="inlineStr">
        <is>
          <t>Thiết kế component và ranh giới Server/Client</t>
        </is>
      </c>
      <c r="C15" s="7" t="n">
        <v>0.5</v>
      </c>
      <c r="D15" s="7" t="inlineStr">
        <is>
          <t>Nhóm</t>
        </is>
      </c>
      <c r="E15" s="7">
        <f>COUNT('Bảng điểm'!H4:H63)</f>
        <v/>
      </c>
      <c r="F15" s="7">
        <f>IF(E15=0,"",ROUND(AVERAGE('Bảng điểm'!H4:H63),2))</f>
        <v/>
      </c>
      <c r="G15" s="38">
        <f>IF(E15=0,"",F15/C15)</f>
        <v/>
      </c>
    </row>
    <row r="16">
      <c r="A16" s="7" t="inlineStr">
        <is>
          <t>1.5</t>
        </is>
      </c>
      <c r="B16" s="9" t="inlineStr">
        <is>
          <t>Phân tích module quản trị</t>
        </is>
      </c>
      <c r="C16" s="7" t="n">
        <v>0.5</v>
      </c>
      <c r="D16" s="7" t="inlineStr">
        <is>
          <t>Nhóm</t>
        </is>
      </c>
      <c r="E16" s="7">
        <f>COUNT('Bảng điểm'!I4:I63)</f>
        <v/>
      </c>
      <c r="F16" s="7">
        <f>IF(E16=0,"",ROUND(AVERAGE('Bảng điểm'!I4:I63),2))</f>
        <v/>
      </c>
      <c r="G16" s="38">
        <f>IF(E16=0,"",F16/C16)</f>
        <v/>
      </c>
    </row>
    <row r="17">
      <c r="A17" s="7" t="inlineStr">
        <is>
          <t>1.6</t>
        </is>
      </c>
      <c r="B17" s="9" t="inlineStr">
        <is>
          <t>Phân tích phân quyền và bảo mật</t>
        </is>
      </c>
      <c r="C17" s="7" t="n">
        <v>0.4</v>
      </c>
      <c r="D17" s="7" t="inlineStr">
        <is>
          <t>Nhóm</t>
        </is>
      </c>
      <c r="E17" s="7">
        <f>COUNT('Bảng điểm'!J4:J63)</f>
        <v/>
      </c>
      <c r="F17" s="7">
        <f>IF(E17=0,"",ROUND(AVERAGE('Bảng điểm'!J4:J63),2))</f>
        <v/>
      </c>
      <c r="G17" s="38">
        <f>IF(E17=0,"",F17/C17)</f>
        <v/>
      </c>
    </row>
    <row r="18">
      <c r="A18" s="7" t="inlineStr">
        <is>
          <t>1.7</t>
        </is>
      </c>
      <c r="B18" s="9" t="inlineStr">
        <is>
          <t>Phân tích luồng thời gian thực</t>
        </is>
      </c>
      <c r="C18" s="7" t="n">
        <v>0.4</v>
      </c>
      <c r="D18" s="7" t="inlineStr">
        <is>
          <t>Nhóm</t>
        </is>
      </c>
      <c r="E18" s="7">
        <f>COUNT('Bảng điểm'!K4:K63)</f>
        <v/>
      </c>
      <c r="F18" s="7">
        <f>IF(E18=0,"",ROUND(AVERAGE('Bảng điểm'!K4:K63),2))</f>
        <v/>
      </c>
      <c r="G18" s="38">
        <f>IF(E18=0,"",F18/C18)</f>
        <v/>
      </c>
    </row>
    <row r="19">
      <c r="A19" s="7" t="inlineStr">
        <is>
          <t>1.8</t>
        </is>
      </c>
      <c r="B19" s="9" t="inlineStr">
        <is>
          <t>Sản phẩm triển khai khớp phân tích</t>
        </is>
      </c>
      <c r="C19" s="7" t="n">
        <v>0.4</v>
      </c>
      <c r="D19" s="7" t="inlineStr">
        <is>
          <t>Nhóm</t>
        </is>
      </c>
      <c r="E19" s="7">
        <f>COUNT('Bảng điểm'!L4:L63)</f>
        <v/>
      </c>
      <c r="F19" s="7">
        <f>IF(E19=0,"",ROUND(AVERAGE('Bảng điểm'!L4:L63),2))</f>
        <v/>
      </c>
      <c r="G19" s="38">
        <f>IF(E19=0,"",F19/C19)</f>
        <v/>
      </c>
    </row>
    <row r="20">
      <c r="A20" s="7" t="inlineStr">
        <is>
          <t>1.9</t>
        </is>
      </c>
      <c r="B20" s="9" t="inlineStr">
        <is>
          <t>Giải thích phân tích và mã phần phụ trách</t>
        </is>
      </c>
      <c r="C20" s="7" t="n">
        <v>0.3</v>
      </c>
      <c r="D20" s="7" t="inlineStr">
        <is>
          <t>Cá nhân</t>
        </is>
      </c>
      <c r="E20" s="7">
        <f>COUNT('Bảng điểm'!M4:M63)</f>
        <v/>
      </c>
      <c r="F20" s="7">
        <f>IF(E20=0,"",ROUND(AVERAGE('Bảng điểm'!M4:M63),2))</f>
        <v/>
      </c>
      <c r="G20" s="38">
        <f>IF(E20=0,"",F20/C20)</f>
        <v/>
      </c>
    </row>
    <row r="21">
      <c r="A21" s="7" t="inlineStr">
        <is>
          <t>2.1</t>
        </is>
      </c>
      <c r="B21" s="9" t="inlineStr">
        <is>
          <t>Kế hoạch kiểm thử</t>
        </is>
      </c>
      <c r="C21" s="7" t="n">
        <v>0.3</v>
      </c>
      <c r="D21" s="7" t="inlineStr">
        <is>
          <t>Nhóm</t>
        </is>
      </c>
      <c r="E21" s="7">
        <f>COUNT('Bảng điểm'!N4:N63)</f>
        <v/>
      </c>
      <c r="F21" s="7">
        <f>IF(E21=0,"",ROUND(AVERAGE('Bảng điểm'!N4:N63),2))</f>
        <v/>
      </c>
      <c r="G21" s="38">
        <f>IF(E21=0,"",F21/C21)</f>
        <v/>
      </c>
    </row>
    <row r="22">
      <c r="A22" s="7" t="inlineStr">
        <is>
          <t>2.2</t>
        </is>
      </c>
      <c r="B22" s="9" t="inlineStr">
        <is>
          <t>Test case truy vết tới yêu cầu</t>
        </is>
      </c>
      <c r="C22" s="7" t="n">
        <v>0.5</v>
      </c>
      <c r="D22" s="7" t="inlineStr">
        <is>
          <t>Nhóm</t>
        </is>
      </c>
      <c r="E22" s="7">
        <f>COUNT('Bảng điểm'!O4:O63)</f>
        <v/>
      </c>
      <c r="F22" s="7">
        <f>IF(E22=0,"",ROUND(AVERAGE('Bảng điểm'!O4:O63),2))</f>
        <v/>
      </c>
      <c r="G22" s="38">
        <f>IF(E22=0,"",F22/C22)</f>
        <v/>
      </c>
    </row>
    <row r="23">
      <c r="A23" s="7" t="inlineStr">
        <is>
          <t>2.3</t>
        </is>
      </c>
      <c r="B23" s="9" t="inlineStr">
        <is>
          <t>Kiểm thử tự động đơn vị và component</t>
        </is>
      </c>
      <c r="C23" s="7" t="n">
        <v>0.4</v>
      </c>
      <c r="D23" s="7" t="inlineStr">
        <is>
          <t>Nhóm</t>
        </is>
      </c>
      <c r="E23" s="7">
        <f>COUNT('Bảng điểm'!P4:P63)</f>
        <v/>
      </c>
      <c r="F23" s="7">
        <f>IF(E23=0,"",ROUND(AVERAGE('Bảng điểm'!P4:P63),2))</f>
        <v/>
      </c>
      <c r="G23" s="38">
        <f>IF(E23=0,"",F23/C23)</f>
        <v/>
      </c>
    </row>
    <row r="24">
      <c r="A24" s="7" t="inlineStr">
        <is>
          <t>2.4</t>
        </is>
      </c>
      <c r="B24" s="9" t="inlineStr">
        <is>
          <t>Kiểm thử đầu-cuối luồng chính</t>
        </is>
      </c>
      <c r="C24" s="7" t="n">
        <v>0.3</v>
      </c>
      <c r="D24" s="7" t="inlineStr">
        <is>
          <t>Nhóm</t>
        </is>
      </c>
      <c r="E24" s="7">
        <f>COUNT('Bảng điểm'!Q4:Q63)</f>
        <v/>
      </c>
      <c r="F24" s="7">
        <f>IF(E24=0,"",ROUND(AVERAGE('Bảng điểm'!Q4:Q63),2))</f>
        <v/>
      </c>
      <c r="G24" s="38">
        <f>IF(E24=0,"",F24/C24)</f>
        <v/>
      </c>
    </row>
    <row r="25">
      <c r="A25" s="7" t="inlineStr">
        <is>
          <t>2.5</t>
        </is>
      </c>
      <c r="B25" s="9" t="inlineStr">
        <is>
          <t>Kết quả kiểm thử và quản lý lỗi</t>
        </is>
      </c>
      <c r="C25" s="7" t="n">
        <v>0.3</v>
      </c>
      <c r="D25" s="7" t="inlineStr">
        <is>
          <t>Nhóm</t>
        </is>
      </c>
      <c r="E25" s="7">
        <f>COUNT('Bảng điểm'!R4:R63)</f>
        <v/>
      </c>
      <c r="F25" s="7">
        <f>IF(E25=0,"",ROUND(AVERAGE('Bảng điểm'!R4:R63),2))</f>
        <v/>
      </c>
      <c r="G25" s="38">
        <f>IF(E25=0,"",F25/C25)</f>
        <v/>
      </c>
    </row>
    <row r="26">
      <c r="A26" s="7" t="inlineStr">
        <is>
          <t>2.6</t>
        </is>
      </c>
      <c r="B26" s="9" t="inlineStr">
        <is>
          <t>Kiểm thử phi chức năng</t>
        </is>
      </c>
      <c r="C26" s="7" t="n">
        <v>0.2</v>
      </c>
      <c r="D26" s="7" t="inlineStr">
        <is>
          <t>Nhóm</t>
        </is>
      </c>
      <c r="E26" s="7">
        <f>COUNT('Bảng điểm'!S4:S63)</f>
        <v/>
      </c>
      <c r="F26" s="7">
        <f>IF(E26=0,"",ROUND(AVERAGE('Bảng điểm'!S4:S63),2))</f>
        <v/>
      </c>
      <c r="G26" s="38">
        <f>IF(E26=0,"",F26/C26)</f>
        <v/>
      </c>
    </row>
    <row r="27">
      <c r="A27" s="7" t="inlineStr">
        <is>
          <t>3.1</t>
        </is>
      </c>
      <c r="B27" s="9" t="inlineStr">
        <is>
          <t>Cấu trúc báo cáo</t>
        </is>
      </c>
      <c r="C27" s="7" t="n">
        <v>0.4</v>
      </c>
      <c r="D27" s="7" t="inlineStr">
        <is>
          <t>Nhóm</t>
        </is>
      </c>
      <c r="E27" s="7">
        <f>COUNT('Bảng điểm'!T4:T63)</f>
        <v/>
      </c>
      <c r="F27" s="7">
        <f>IF(E27=0,"",ROUND(AVERAGE('Bảng điểm'!T4:T63),2))</f>
        <v/>
      </c>
      <c r="G27" s="38">
        <f>IF(E27=0,"",F27/C27)</f>
        <v/>
      </c>
    </row>
    <row r="28">
      <c r="A28" s="7" t="inlineStr">
        <is>
          <t>3.2</t>
        </is>
      </c>
      <c r="B28" s="9" t="inlineStr">
        <is>
          <t>Nội dung hợp lý và có minh chứng</t>
        </is>
      </c>
      <c r="C28" s="7" t="n">
        <v>0.4</v>
      </c>
      <c r="D28" s="7" t="inlineStr">
        <is>
          <t>Nhóm</t>
        </is>
      </c>
      <c r="E28" s="7">
        <f>COUNT('Bảng điểm'!U4:U63)</f>
        <v/>
      </c>
      <c r="F28" s="7">
        <f>IF(E28=0,"",ROUND(AVERAGE('Bảng điểm'!U4:U63),2))</f>
        <v/>
      </c>
      <c r="G28" s="38">
        <f>IF(E28=0,"",F28/C28)</f>
        <v/>
      </c>
    </row>
    <row r="29">
      <c r="A29" s="7" t="inlineStr">
        <is>
          <t>3.3</t>
        </is>
      </c>
      <c r="B29" s="9" t="inlineStr">
        <is>
          <t>Định dạng trình bày</t>
        </is>
      </c>
      <c r="C29" s="7" t="n">
        <v>0.4</v>
      </c>
      <c r="D29" s="7" t="inlineStr">
        <is>
          <t>Nhóm</t>
        </is>
      </c>
      <c r="E29" s="7">
        <f>COUNT('Bảng điểm'!V4:V63)</f>
        <v/>
      </c>
      <c r="F29" s="7">
        <f>IF(E29=0,"",ROUND(AVERAGE('Bảng điểm'!V4:V63),2))</f>
        <v/>
      </c>
      <c r="G29" s="38">
        <f>IF(E29=0,"",F29/C29)</f>
        <v/>
      </c>
    </row>
    <row r="30">
      <c r="A30" s="7" t="inlineStr">
        <is>
          <t>3.4</t>
        </is>
      </c>
      <c r="B30" s="9" t="inlineStr">
        <is>
          <t>Hình, bảng và sơ đồ</t>
        </is>
      </c>
      <c r="C30" s="7" t="n">
        <v>0.3</v>
      </c>
      <c r="D30" s="7" t="inlineStr">
        <is>
          <t>Nhóm</t>
        </is>
      </c>
      <c r="E30" s="7">
        <f>COUNT('Bảng điểm'!W4:W63)</f>
        <v/>
      </c>
      <c r="F30" s="7">
        <f>IF(E30=0,"",ROUND(AVERAGE('Bảng điểm'!W4:W63),2))</f>
        <v/>
      </c>
      <c r="G30" s="38">
        <f>IF(E30=0,"",F30/C30)</f>
        <v/>
      </c>
    </row>
    <row r="31">
      <c r="A31" s="7" t="inlineStr">
        <is>
          <t>3.5</t>
        </is>
      </c>
      <c r="B31" s="9" t="inlineStr">
        <is>
          <t>Trích dẫn và tài liệu tham khảo</t>
        </is>
      </c>
      <c r="C31" s="7" t="n">
        <v>0.2</v>
      </c>
      <c r="D31" s="7" t="inlineStr">
        <is>
          <t>Nhóm</t>
        </is>
      </c>
      <c r="E31" s="7">
        <f>COUNT('Bảng điểm'!X4:X63)</f>
        <v/>
      </c>
      <c r="F31" s="7">
        <f>IF(E31=0,"",ROUND(AVERAGE('Bảng điểm'!X4:X63),2))</f>
        <v/>
      </c>
      <c r="G31" s="38">
        <f>IF(E31=0,"",F31/C31)</f>
        <v/>
      </c>
    </row>
    <row r="32">
      <c r="A32" s="7" t="inlineStr">
        <is>
          <t>3.6</t>
        </is>
      </c>
      <c r="B32" s="9" t="inlineStr">
        <is>
          <t>Ngôn ngữ và văn phong</t>
        </is>
      </c>
      <c r="C32" s="7" t="n">
        <v>0.3</v>
      </c>
      <c r="D32" s="7" t="inlineStr">
        <is>
          <t>Nhóm</t>
        </is>
      </c>
      <c r="E32" s="7">
        <f>COUNT('Bảng điểm'!Y4:Y63)</f>
        <v/>
      </c>
      <c r="F32" s="7">
        <f>IF(E32=0,"",ROUND(AVERAGE('Bảng điểm'!Y4:Y63),2))</f>
        <v/>
      </c>
      <c r="G32" s="38">
        <f>IF(E32=0,"",F32/C32)</f>
        <v/>
      </c>
    </row>
    <row r="33">
      <c r="A33" s="7" t="inlineStr">
        <is>
          <t>4.1</t>
        </is>
      </c>
      <c r="B33" s="9" t="inlineStr">
        <is>
          <t>Backlog và kế hoạch sprint</t>
        </is>
      </c>
      <c r="C33" s="7" t="n">
        <v>0.4</v>
      </c>
      <c r="D33" s="7" t="inlineStr">
        <is>
          <t>Nhóm</t>
        </is>
      </c>
      <c r="E33" s="7">
        <f>COUNT('Bảng điểm'!Z4:Z63)</f>
        <v/>
      </c>
      <c r="F33" s="7">
        <f>IF(E33=0,"",ROUND(AVERAGE('Bảng điểm'!Z4:Z63),2))</f>
        <v/>
      </c>
      <c r="G33" s="38">
        <f>IF(E33=0,"",F33/C33)</f>
        <v/>
      </c>
    </row>
    <row r="34">
      <c r="A34" s="7" t="inlineStr">
        <is>
          <t>4.2</t>
        </is>
      </c>
      <c r="B34" s="9" t="inlineStr">
        <is>
          <t>Phân công và theo dõi công việc</t>
        </is>
      </c>
      <c r="C34" s="7" t="n">
        <v>0.3</v>
      </c>
      <c r="D34" s="7" t="inlineStr">
        <is>
          <t>Nhóm</t>
        </is>
      </c>
      <c r="E34" s="7">
        <f>COUNT('Bảng điểm'!AA4:AA63)</f>
        <v/>
      </c>
      <c r="F34" s="7">
        <f>IF(E34=0,"",ROUND(AVERAGE('Bảng điểm'!AA4:AA63),2))</f>
        <v/>
      </c>
      <c r="G34" s="38">
        <f>IF(E34=0,"",F34/C34)</f>
        <v/>
      </c>
    </row>
    <row r="35">
      <c r="A35" s="7" t="inlineStr">
        <is>
          <t>4.3</t>
        </is>
      </c>
      <c r="B35" s="9" t="inlineStr">
        <is>
          <t>Tiến độ so với kế hoạch</t>
        </is>
      </c>
      <c r="C35" s="7" t="n">
        <v>0.3</v>
      </c>
      <c r="D35" s="7" t="inlineStr">
        <is>
          <t>Nhóm</t>
        </is>
      </c>
      <c r="E35" s="7">
        <f>COUNT('Bảng điểm'!AB4:AB63)</f>
        <v/>
      </c>
      <c r="F35" s="7">
        <f>IF(E35=0,"",ROUND(AVERAGE('Bảng điểm'!AB4:AB63),2))</f>
        <v/>
      </c>
      <c r="G35" s="38">
        <f>IF(E35=0,"",F35/C35)</f>
        <v/>
      </c>
    </row>
    <row r="36">
      <c r="A36" s="7" t="inlineStr">
        <is>
          <t>4.4</t>
        </is>
      </c>
      <c r="B36" s="9" t="inlineStr">
        <is>
          <t>Hoàn thành nhiệm vụ cá nhân đúng hạn</t>
        </is>
      </c>
      <c r="C36" s="7" t="n">
        <v>0.4</v>
      </c>
      <c r="D36" s="7" t="inlineStr">
        <is>
          <t>Cá nhân</t>
        </is>
      </c>
      <c r="E36" s="7">
        <f>COUNT('Bảng điểm'!AC4:AC63)</f>
        <v/>
      </c>
      <c r="F36" s="7">
        <f>IF(E36=0,"",ROUND(AVERAGE('Bảng điểm'!AC4:AC63),2))</f>
        <v/>
      </c>
      <c r="G36" s="38">
        <f>IF(E36=0,"",F36/C36)</f>
        <v/>
      </c>
    </row>
    <row r="37">
      <c r="A37" s="7" t="inlineStr">
        <is>
          <t>4.5</t>
        </is>
      </c>
      <c r="B37" s="9" t="inlineStr">
        <is>
          <t>Báo cáo vai trò và sắp xếp công việc cá nhân</t>
        </is>
      </c>
      <c r="C37" s="7" t="n">
        <v>0.4</v>
      </c>
      <c r="D37" s="7" t="inlineStr">
        <is>
          <t>Cá nhân</t>
        </is>
      </c>
      <c r="E37" s="7">
        <f>COUNT('Bảng điểm'!AD4:AD63)</f>
        <v/>
      </c>
      <c r="F37" s="7">
        <f>IF(E37=0,"",ROUND(AVERAGE('Bảng điểm'!AD4:AD63),2))</f>
        <v/>
      </c>
      <c r="G37" s="38">
        <f>IF(E37=0,"",F37/C37)</f>
        <v/>
      </c>
    </row>
    <row r="38">
      <c r="A38" s="7" t="inlineStr">
        <is>
          <t>4.6</t>
        </is>
      </c>
      <c r="B38" s="9" t="inlineStr">
        <is>
          <t>Phối hợp nhóm</t>
        </is>
      </c>
      <c r="C38" s="7" t="n">
        <v>0.2</v>
      </c>
      <c r="D38" s="7" t="inlineStr">
        <is>
          <t>Cá nhân</t>
        </is>
      </c>
      <c r="E38" s="7">
        <f>COUNT('Bảng điểm'!AE4:AE63)</f>
        <v/>
      </c>
      <c r="F38" s="7">
        <f>IF(E38=0,"",ROUND(AVERAGE('Bảng điểm'!AE4:AE63),2))</f>
        <v/>
      </c>
      <c r="G38" s="38">
        <f>IF(E38=0,"",F38/C38)</f>
        <v/>
      </c>
    </row>
  </sheetData>
  <conditionalFormatting sqref="I5:I8">
    <cfRule type="cellIs" priority="1" operator="equal" dxfId="0">
      <formula>"Chưa đạt"</formula>
    </cfRule>
    <cfRule type="cellIs" priority="2" operator="equal" dxfId="2">
      <formula>"Đạt"</formula>
    </cfRule>
  </conditionalFormatting>
  <conditionalFormatting sqref="G12:G38">
    <cfRule type="expression" priority="3" dxfId="3">
      <formula>AND(ISNUMBER(G12),G12&lt;0.5)</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2026-10-30T04:44:01Z</dcterms:created>
  <dcterms:modified xmlns:dcterms="http://purl.org/dc/terms/" xmlns:xsi="http://www.w3.org/2001/XMLSchema-instance" xsi:type="dcterms:W3CDTF">2026-10-30T04:44:01Z</dcterms:modified>
</cp:coreProperties>
</file>