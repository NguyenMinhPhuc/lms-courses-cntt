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Bảng điểm" sheetId="3" state="visible" r:id="rId3"/>
    <sheet xmlns:r="http://schemas.openxmlformats.org/officeDocument/2006/relationships" name="Mức đạt CL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013D88"/>
      <sz val="14"/>
    </font>
    <font>
      <i val="1"/>
    </font>
    <font>
      <b val="1"/>
      <color rgb="0001295C"/>
    </font>
    <font>
      <b val="1"/>
      <color rgb="00FFFFFF"/>
    </font>
    <font>
      <b val="1"/>
    </font>
    <font>
      <b val="1"/>
      <sz val="9"/>
    </font>
    <font>
      <i val="1"/>
      <sz val="9"/>
    </font>
    <font>
      <b val="1"/>
      <color rgb="00013D88"/>
      <sz val="13"/>
    </font>
  </fonts>
  <fills count="9">
    <fill>
      <patternFill/>
    </fill>
    <fill>
      <patternFill patternType="gray125"/>
    </fill>
    <fill>
      <patternFill patternType="solid">
        <fgColor rgb="00013D88"/>
      </patternFill>
    </fill>
    <fill>
      <patternFill patternType="solid">
        <fgColor rgb="00E7F1FF"/>
      </patternFill>
    </fill>
    <fill>
      <patternFill patternType="solid">
        <fgColor rgb="00EAFAF1"/>
      </patternFill>
    </fill>
    <fill>
      <patternFill patternType="solid">
        <fgColor rgb="00FFF5EB"/>
      </patternFill>
    </fill>
    <fill>
      <patternFill patternType="solid">
        <fgColor rgb="00F3E5F5"/>
      </patternFill>
    </fill>
    <fill>
      <patternFill patternType="solid">
        <fgColor rgb="00D6E4F5"/>
      </patternFill>
    </fill>
    <fill>
      <patternFill patternType="solid">
        <fgColor rgb="00FCE8C8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9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b val="1"/>
        <color rgb="00B42318"/>
      </font>
      <fill>
        <patternFill patternType="solid">
          <fgColor rgb="00FDE2E1"/>
        </patternFill>
      </fill>
    </dxf>
    <dxf>
      <font>
        <color rgb="00067647"/>
      </font>
      <fill>
        <patternFill patternType="solid">
          <fgColor rgb="00E3F6E8"/>
        </patternFill>
      </fill>
    </dxf>
    <dxf>
      <font>
        <b val="1"/>
        <color rgb="00067647"/>
      </font>
      <fill>
        <patternFill patternType="solid">
          <fgColor rgb="00E3F6E8"/>
        </patternFill>
      </fill>
    </dxf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RUBRIC CHẤM ĐIỂM CUỐI KỲ - LẬP TRÌNH ỨNG DỤNG DI ĐỘNG (111114)</t>
        </is>
      </c>
    </row>
    <row r="2">
      <c r="A2" s="2" t="inlineStr">
        <is>
          <t>Đánh giá cuối kỳ: đồ án nhóm, báo cáo và Demo Day (buổi 12)</t>
        </is>
      </c>
    </row>
    <row r="3">
      <c r="A3" s="3" t="inlineStr"/>
    </row>
    <row r="4">
      <c r="A4" s="4" t="inlineStr">
        <is>
          <t>Cấu trúc</t>
        </is>
      </c>
    </row>
    <row r="5">
      <c r="A5" s="3" t="inlineStr">
        <is>
          <t>- 4 CLO, 27 tiêu chí; mỗi tiêu chí chỉ chấm một vấn đề. Tổng điểm: 10.</t>
        </is>
      </c>
    </row>
    <row r="6">
      <c r="A6" s="3" t="inlineStr">
        <is>
          <t>- CLO1 (PLO2 / PI 2.4): 3 điểm, 8 tiêu chí; CLO2 (PLO2 / PI 2.5): 2 điểm, 6 tiêu chí; CLO3 (PLO3 / PI 3.4): 2 điểm, 6 tiêu chí; CLO4 (PLO5 / PI 5.2): 3 điểm, 7 tiêu chí.</t>
        </is>
      </c>
    </row>
    <row r="7">
      <c r="A7" s="3" t="inlineStr">
        <is>
          <t>- Mức chấm: A Xuất sắc = 100% điểm tối đa; B Tốt = 75% điểm tối đa; C Đạt = 50% điểm tối đa; D Chưa đạt = 25% điểm tối đa; 0 Không có minh chứng = 0% điểm tối đa.</t>
        </is>
      </c>
    </row>
    <row r="8">
      <c r="A8" s="3" t="inlineStr">
        <is>
          <t>- Có thể cho điểm lẻ giữa hai mức (bước 0,05) khi minh chứng nằm giữa hai mô tả.</t>
        </is>
      </c>
    </row>
    <row r="9">
      <c r="A9" s="3" t="inlineStr">
        <is>
          <t>- Phạm vi 'Nhóm': chấm trên sản phẩm chung, mặc định cùng điểm cho cả nhóm; hạ riêng cho sinh viên không giải thích được phần mã liên quan.</t>
        </is>
      </c>
    </row>
    <row r="10">
      <c r="A10" s="3" t="inlineStr">
        <is>
          <t>- Phạm vi 'Cá nhân': chấm riêng từng sinh viên dựa trên minh chứng của chính sinh viên đó.</t>
        </is>
      </c>
    </row>
    <row r="11">
      <c r="A11" s="3" t="inlineStr"/>
    </row>
    <row r="12">
      <c r="A12" s="4" t="inlineStr">
        <is>
          <t>Ngưỡng đạt</t>
        </is>
      </c>
    </row>
    <row r="13">
      <c r="A13" s="3" t="inlineStr">
        <is>
          <t>- Sinh viên đạt một CLO khi được ít nhất 50% điểm tối đa của CLO đó. CLO đạt ở cấp lớp khi ít nhất 75% số sinh viên đạt.</t>
        </is>
      </c>
    </row>
    <row r="14">
      <c r="A14" s="3" t="inlineStr"/>
    </row>
    <row r="15">
      <c r="A15" s="4" t="inlineStr">
        <is>
          <t>Cách dùng file</t>
        </is>
      </c>
    </row>
    <row r="16">
      <c r="A16" s="3" t="inlineStr">
        <is>
          <t>1. Sheet 'Rubric': mô tả mức, gợi ý chấm, minh chứng cần có của từng tiêu chí.</t>
        </is>
      </c>
    </row>
    <row r="17">
      <c r="A17" s="3" t="inlineStr">
        <is>
          <t>2. Sheet 'Bảng điểm': nhập MSSV, họ tên, nhóm và điểm từng tiêu chí (0 đến điểm tối đa, có kiểm tra dữ liệu). Điểm CLO, tổng, Đạt/Chưa đạt tự tính. Sẵn 60 dòng.</t>
        </is>
      </c>
    </row>
    <row r="18">
      <c r="A18" s="3" t="inlineStr">
        <is>
          <t>3. Sheet 'Mức đạt CLO': tỷ lệ sinh viên đạt từng CLO và kết luận đạt ở cấp lớp; điểm trung bình theo tiêu chí.</t>
        </is>
      </c>
    </row>
    <row r="19">
      <c r="A19" s="3" t="inlineStr">
        <is>
          <t>4. Có thể chấm trên trang web cham-diem.html của học phần rồi xuất Excel; file xuất có cùng cấu trúc cột.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0" customWidth="1" min="3" max="3"/>
    <col width="9" customWidth="1" min="4" max="4"/>
    <col width="34" customWidth="1" min="5" max="5"/>
    <col width="34" customWidth="1" min="6" max="6"/>
    <col width="34" customWidth="1" min="7" max="7"/>
    <col width="34" customWidth="1" min="8" max="8"/>
    <col width="40" customWidth="1" min="9" max="9"/>
    <col width="34" customWidth="1" min="10" max="10"/>
  </cols>
  <sheetData>
    <row r="1">
      <c r="A1" s="5" t="inlineStr">
        <is>
          <t>Mã</t>
        </is>
      </c>
      <c r="B1" s="5" t="inlineStr">
        <is>
          <t>Tiêu chí</t>
        </is>
      </c>
      <c r="C1" s="5" t="inlineStr">
        <is>
          <t>Phạm vi</t>
        </is>
      </c>
      <c r="D1" s="5" t="inlineStr">
        <is>
          <t>Điểm tối đa</t>
        </is>
      </c>
      <c r="E1" s="5" t="inlineStr">
        <is>
          <t>A - Xuất sắc (100%)</t>
        </is>
      </c>
      <c r="F1" s="5" t="inlineStr">
        <is>
          <t>B - Tốt (75%)</t>
        </is>
      </c>
      <c r="G1" s="5" t="inlineStr">
        <is>
          <t>C - Đạt (50%)</t>
        </is>
      </c>
      <c r="H1" s="5" t="inlineStr">
        <is>
          <t>D - Chưa đạt (25%)</t>
        </is>
      </c>
      <c r="I1" s="5" t="inlineStr">
        <is>
          <t>Gợi ý chấm</t>
        </is>
      </c>
      <c r="J1" s="5" t="inlineStr">
        <is>
          <t>Minh chứng cần có</t>
        </is>
      </c>
    </row>
    <row r="2" ht="30" customHeight="1">
      <c r="A2" s="6" t="inlineStr">
        <is>
          <t>CLO1 (PLO2 / PI 2.4) - Thiết kế các thành phần chức năng của ứng dụng di động đáp ứng các yêu cầu đặt ra - 3 điểm (đạt khi ≥ 1.5)</t>
        </is>
      </c>
    </row>
    <row r="3">
      <c r="A3" s="7" t="inlineStr">
        <is>
          <t>1.1</t>
        </is>
      </c>
      <c r="B3" s="8" t="inlineStr">
        <is>
          <t>Sơ đồ chức năng và phạm vi</t>
        </is>
      </c>
      <c r="C3" s="7" t="inlineStr">
        <is>
          <t>Nhóm</t>
        </is>
      </c>
      <c r="D3" s="7" t="n">
        <v>0.4</v>
      </c>
      <c r="E3" s="9" t="inlineStr">
        <is>
          <t>Sơ đồ phân rã đủ nhóm chức năng theo từng actor, khớp hoàn toàn với sản phẩm demo; phạm vi đã làm/chưa làm được nêu rõ kèm lý do.</t>
        </is>
      </c>
      <c r="F3" s="9" t="inlineStr">
        <is>
          <t>Sơ đồ đủ chức năng chính và khớp sản phẩm; thiếu vài chức năng phụ hoặc chưa tách theo actor.</t>
        </is>
      </c>
      <c r="G3" s="9" t="inlineStr">
        <is>
          <t>Có sơ đồ nhưng thiếu một nhóm chức năng hoặc lệch so với sản phẩm ở vài chỗ.</t>
        </is>
      </c>
      <c r="H3" s="9" t="inlineStr">
        <is>
          <t>Sơ đồ sơ sài, không phản ánh sản phẩm thật.</t>
        </is>
      </c>
      <c r="I3" s="9" t="inlineStr">
        <is>
          <t>Đặt sơ đồ cạnh ứng dụng đang chạy, đánh dấu từng chức năng có/không có trong sản phẩm. Chỉ chấm sự đầy đủ và khớp của sơ đồ, không chấm hình thức vẽ (thuộc 3.5).</t>
        </is>
      </c>
      <c r="J3" s="9" t="inlineStr">
        <is>
          <t>docs/so-do-chuc-nang (file nguồn + ảnh); chương Thiết kế chức năng trong báo cáo; slide Demo Day.</t>
        </is>
      </c>
    </row>
    <row r="4">
      <c r="A4" s="7" t="inlineStr">
        <is>
          <t>1.2</t>
        </is>
      </c>
      <c r="B4" s="8" t="inlineStr">
        <is>
          <t>Luồng nghiệp vụ chính chạy end-to-end trên Android</t>
        </is>
      </c>
      <c r="C4" s="7" t="inlineStr">
        <is>
          <t>Nhóm</t>
        </is>
      </c>
      <c r="D4" s="7" t="n">
        <v>0.6</v>
      </c>
      <c r="E4" s="9" t="inlineStr">
        <is>
          <t>Luồng chính (đăng nhập → chọn món → đặt → nhân viên xử lý → hoàn tất) chạy trơn tru trên APK, điện thoại thật, kết nối backend trên server Khoa; không lỗi trong demo.</t>
        </is>
      </c>
      <c r="F4" s="9" t="inlineStr">
        <is>
          <t>Luồng chính chạy đủ trên Android thật; có 1 lỗi nhỏ không chặn luồng hoặc phải thao tác lại một lần.</t>
        </is>
      </c>
      <c r="G4" s="9" t="inlineStr">
        <is>
          <t>Luồng chạy được nhưng phải dùng Expo Go/emulator hoặc backend trên máy cá nhân, hoặc thiếu một bước phụ.</t>
        </is>
      </c>
      <c r="H4" s="9" t="inlineStr">
        <is>
          <t>Luồng bị gián đoạn, có màn hình đỏ hoặc phải dùng dữ liệu giả.</t>
        </is>
      </c>
      <c r="I4" s="9" t="inlineStr">
        <is>
          <t>Yêu cầu nhóm chạy kịch bản demo trên APK. Chỉ chấm luồng nghiệp vụ chính; tính năng thiết bị, realtime, xác thực chấm ở tiêu chí riêng.</t>
        </is>
      </c>
      <c r="J4" s="9" t="inlineStr">
        <is>
          <t>Demo trực tiếp; file APK; video dự phòng; docs/acceptance-test.md.</t>
        </is>
      </c>
    </row>
    <row r="5">
      <c r="A5" s="7" t="inlineStr">
        <is>
          <t>1.3</t>
        </is>
      </c>
      <c r="B5" s="8" t="inlineStr">
        <is>
          <t>Xác thực và phân quyền</t>
        </is>
      </c>
      <c r="C5" s="7" t="inlineStr">
        <is>
          <t>Nhóm</t>
        </is>
      </c>
      <c r="D5" s="7" t="n">
        <v>0.4</v>
      </c>
      <c r="E5" s="9" t="inlineStr">
        <is>
          <t>Đăng ký, đăng nhập, giữ phiên (refresh token), đăng xuất hoạt động; API trả 403 cho sai vai trò; token lưu SecureStore; userId lấy từ token.</t>
        </is>
      </c>
      <c r="F5" s="9" t="inlineStr">
        <is>
          <t>Đủ đăng nhập/đăng xuất và phân quyền ở API; thiếu giữ phiên hoặc một kiểm tra phụ.</t>
        </is>
      </c>
      <c r="G5" s="9" t="inlineStr">
        <is>
          <t>Có đăng nhập nhưng phân quyền chỉ ẩn nút ở ứng dụng, API không kiểm tra vai trò.</t>
        </is>
      </c>
      <c r="H5" s="9" t="inlineStr">
        <is>
          <t>Xác thực không hoạt động hoặc lưu token/mật khẩu không an toàn (AsyncStorage, mật khẩu gốc).</t>
        </is>
      </c>
      <c r="I5" s="9" t="inlineStr">
        <is>
          <t>Thử gọi một API nhân viên bằng token khách (Swagger) và đóng/mở lại ứng dụng để kiểm tra giữ phiên.</t>
        </is>
      </c>
      <c r="J5" s="9" t="inlineStr">
        <is>
          <t>Demo; mã stores/auth, AuthGuard/RolesGuard; Swagger.</t>
        </is>
      </c>
    </row>
    <row r="6">
      <c r="A6" s="7" t="inlineStr">
        <is>
          <t>1.4</t>
        </is>
      </c>
      <c r="B6" s="8" t="inlineStr">
        <is>
          <t>Tích hợp tính năng thiết bị</t>
        </is>
      </c>
      <c r="C6" s="7" t="inlineStr">
        <is>
          <t>Nhóm</t>
        </is>
      </c>
      <c r="D6" s="7" t="n">
        <v>0.3</v>
      </c>
      <c r="E6" s="9" t="inlineStr">
        <is>
          <t>Ít nhất hai tính năng thiết bị (camera/ảnh, vị trí/bản đồ…) hoạt động trên máy thật; xin quyền đúng lúc, xử lý khi bị từ chối.</t>
        </is>
      </c>
      <c r="F6" s="9" t="inlineStr">
        <is>
          <t>Một tính năng thiết bị hoạt động tốt, xin quyền đúng lúc.</t>
        </is>
      </c>
      <c r="G6" s="9" t="inlineStr">
        <is>
          <t>Có tính năng thiết bị nhưng xin quyền ngay khi mở ứng dụng hoặc lỗi khi bị từ chối quyền.</t>
        </is>
      </c>
      <c r="H6" s="9" t="inlineStr">
        <is>
          <t>Tính năng thiết bị không chạy được trên máy thật.</t>
        </is>
      </c>
      <c r="I6" s="9" t="inlineStr">
        <is>
          <t>Thử từ chối quyền một lần để xem ứng dụng có xử lý không.</t>
        </is>
      </c>
      <c r="J6" s="9" t="inlineStr">
        <is>
          <t>Demo trên điện thoại thật; khai báo quyền trong app.config.</t>
        </is>
      </c>
    </row>
    <row r="7">
      <c r="A7" s="7" t="inlineStr">
        <is>
          <t>1.5</t>
        </is>
      </c>
      <c r="B7" s="8" t="inlineStr">
        <is>
          <t>Thông báo thời gian thực (Socket.IO)</t>
        </is>
      </c>
      <c r="C7" s="7" t="inlineStr">
        <is>
          <t>Nhóm</t>
        </is>
      </c>
      <c r="D7" s="7" t="n">
        <v>0.4</v>
      </c>
      <c r="E7" s="9" t="inlineStr">
        <is>
          <t>Đổi trạng thái ở một máy, máy kia nhận thông báo trong vài giây; socket có xác thực; thông báo lưu SQL Server, mở lại ứng dụng vẫn thấy; tự kết nối lại khi mất mạng.</t>
        </is>
      </c>
      <c r="F7" s="9" t="inlineStr">
        <is>
          <t>Thông báo realtime hoạt động, có lưu lịch sử; thiếu xử lý kết nối lại hoặc mở đúng màn hình.</t>
        </is>
      </c>
      <c r="G7" s="9" t="inlineStr">
        <is>
          <t>Có realtime nhưng không lưu lịch sử hoặc socket không xác thực.</t>
        </is>
      </c>
      <c r="H7" s="9" t="inlineStr">
        <is>
          <t>Không có realtime hoặc chỉ dùng polling.</t>
        </is>
      </c>
      <c r="I7" s="9" t="inlineStr">
        <is>
          <t>Demo bằng hai thiết bị; tắt ứng dụng nhận, đổi trạng thái, mở lại để kiểm tra lịch sử.</t>
        </is>
      </c>
      <c r="J7" s="9" t="inlineStr">
        <is>
          <t>Demo hai thiết bị; mã gateway/hook realtime; bảng Notifications.</t>
        </is>
      </c>
    </row>
    <row r="8">
      <c r="A8" s="7" t="inlineStr">
        <is>
          <t>1.6</t>
        </is>
      </c>
      <c r="B8" s="8" t="inlineStr">
        <is>
          <t>Tổ chức thành phần và điều hướng</t>
        </is>
      </c>
      <c r="C8" s="7" t="inlineStr">
        <is>
          <t>Nhóm</t>
        </is>
      </c>
      <c r="D8" s="7" t="n">
        <v>0.3</v>
      </c>
      <c r="E8" s="9" t="inlineStr">
        <is>
          <t>Component tái sử dụng, theme dùng chung, điều hướng Expo Router đúng mô hình (tab/stack/route động), tách dữ liệu server (TanStack Query) và trạng thái cục bộ (Zustand).</t>
        </is>
      </c>
      <c r="F8" s="9" t="inlineStr">
        <is>
          <t>Cấu trúc rõ ràng, có component dùng chung; còn vài màn hình lặp mã hoặc trộn lẫn trạng thái.</t>
        </is>
      </c>
      <c r="G8" s="9" t="inlineStr">
        <is>
          <t>Chạy được nhưng mã dồn vào ít file lớn, màu/kích thước viết cứng nhiều nơi.</t>
        </is>
      </c>
      <c r="H8" s="9" t="inlineStr">
        <is>
          <t>Không có cấu trúc, sao chép mã giữa các màn hình.</t>
        </is>
      </c>
      <c r="I8" s="9" t="inlineStr">
        <is>
          <t>Mở repo, xem thư mục app/, components/, stores/, hooks/. Không chấm số lượng tính năng.</t>
        </is>
      </c>
      <c r="J8" s="9" t="inlineStr">
        <is>
          <t>Repo ứng dụng; AGENTS.md; cây thư mục trong báo cáo.</t>
        </is>
      </c>
    </row>
    <row r="9">
      <c r="A9" s="7" t="inlineStr">
        <is>
          <t>1.7</t>
        </is>
      </c>
      <c r="B9" s="8" t="inlineStr">
        <is>
          <t>Xử lý lỗi và trạng thái dữ liệu</t>
        </is>
      </c>
      <c r="C9" s="7" t="inlineStr">
        <is>
          <t>Nhóm</t>
        </is>
      </c>
      <c r="D9" s="7" t="n">
        <v>0.3</v>
      </c>
      <c r="E9" s="9" t="inlineStr">
        <is>
          <t>Mọi màn hình dữ liệu có đủ trạng thái đang tải, lỗi (có Thử lại), rỗng; thông báo lỗi từ API (400/409) hiển thị dễ hiểu; mất mạng không làm ứng dụng sập.</t>
        </is>
      </c>
      <c r="F9" s="9" t="inlineStr">
        <is>
          <t>Phần lớn màn hình xử lý đủ trạng thái; còn một màn hình thiếu.</t>
        </is>
      </c>
      <c r="G9" s="9" t="inlineStr">
        <is>
          <t>Chỉ có trạng thái đang tải; lỗi hiển thị thông báo kỹ thuật.</t>
        </is>
      </c>
      <c r="H9" s="9" t="inlineStr">
        <is>
          <t>Mất mạng hoặc lỗi API gây màn hình đỏ/treo.</t>
        </is>
      </c>
      <c r="I9" s="9" t="inlineStr">
        <is>
          <t>Bật chế độ máy bay khi đang dùng; thử đặt món đã hết để xem thông báo 409.</t>
        </is>
      </c>
      <c r="J9" s="9" t="inlineStr">
        <is>
          <t>Demo; mã màn hình danh sách.</t>
        </is>
      </c>
    </row>
    <row r="10">
      <c r="A10" s="7" t="inlineStr">
        <is>
          <t>1.8</t>
        </is>
      </c>
      <c r="B10" s="8" t="inlineStr">
        <is>
          <t>Kiểm thử và chất lượng</t>
        </is>
      </c>
      <c r="C10" s="7" t="inlineStr">
        <is>
          <t>Nhóm</t>
        </is>
      </c>
      <c r="D10" s="7" t="n">
        <v>0.3</v>
      </c>
      <c r="E10" s="9" t="inlineStr">
        <is>
          <t>Bộ test tự động cho logic chính chạy xanh; có kịch bản kiểm thử stored procedure; bug log và một cải tiến hiệu năng có số liệu trước/sau.</t>
        </is>
      </c>
      <c r="F10" s="9" t="inlineStr">
        <is>
          <t>Có test tự động và bug log; thiếu kiểm thử thủ tục hoặc số liệu hiệu năng.</t>
        </is>
      </c>
      <c r="G10" s="9" t="inlineStr">
        <is>
          <t>Chỉ có kiểm thử thủ công được ghi lại.</t>
        </is>
      </c>
      <c r="H10" s="9" t="inlineStr">
        <is>
          <t>Không có minh chứng kiểm thử nào ngoài demo.</t>
        </is>
      </c>
      <c r="I10" s="9" t="inlineStr">
        <is>
          <t>Yêu cầu chạy npm test tại chỗ hoặc xem ảnh kết quả có thời gian.</t>
        </is>
      </c>
      <c r="J10" s="9" t="inlineStr">
        <is>
          <t>Kết quả npm test; database/tests/; docs/bug-log.md; bảng số liệu hiệu năng.</t>
        </is>
      </c>
    </row>
    <row r="11" ht="30" customHeight="1">
      <c r="A11" s="10" t="inlineStr">
        <is>
          <t>CLO2 (PLO2 / PI 2.5) - Thiết kế cơ sở dữ liệu đáp ứng cấu trúc dữ liệu phù hợp yêu cầu đặc tả - 2 điểm (đạt khi ≥ 1)</t>
        </is>
      </c>
    </row>
    <row r="12">
      <c r="A12" s="7" t="inlineStr">
        <is>
          <t>2.1</t>
        </is>
      </c>
      <c r="B12" s="8" t="inlineStr">
        <is>
          <t>Mô hình bảng và chuẩn hóa</t>
        </is>
      </c>
      <c r="C12" s="7" t="inlineStr">
        <is>
          <t>Nhóm</t>
        </is>
      </c>
      <c r="D12" s="7" t="n">
        <v>0.4</v>
      </c>
      <c r="E12" s="9" t="inlineStr">
        <is>
          <t>Đủ thực thể cho nghiệp vụ, kiểu dữ liệu đúng (NVARCHAR cho tiếng Việt, DECIMAL cho tiền, DATETIME2), không dư thừa dữ liệu; lưu giá tại thời điểm đặt.</t>
        </is>
      </c>
      <c r="F12" s="9" t="inlineStr">
        <is>
          <t>Mô hình hợp lý, có 1–2 điểm chưa tối ưu (kiểu dữ liệu chưa phù hợp, cột dư).</t>
        </is>
      </c>
      <c r="G12" s="9" t="inlineStr">
        <is>
          <t>Thiếu một thực thể cần thiết hoặc lặp dữ liệu gây khó cập nhật.</t>
        </is>
      </c>
      <c r="H12" s="9" t="inlineStr">
        <is>
          <t>Thiết kế sai cơ bản (gộp nhiều thực thể vào một bảng, lưu danh sách trong một cột).</t>
        </is>
      </c>
      <c r="I12" s="9" t="inlineStr">
        <is>
          <t>Chỉ chấm cấu trúc bảng và kiểu dữ liệu; khóa, ràng buộc chấm ở 2.2, 2.3.</t>
        </is>
      </c>
      <c r="J12" s="9" t="inlineStr">
        <is>
          <t>database/01-*.sql; ERD; chương Thiết kế dữ liệu.</t>
        </is>
      </c>
    </row>
    <row r="13">
      <c r="A13" s="7" t="inlineStr">
        <is>
          <t>2.2</t>
        </is>
      </c>
      <c r="B13" s="8" t="inlineStr">
        <is>
          <t>Khóa và quan hệ</t>
        </is>
      </c>
      <c r="C13" s="7" t="inlineStr">
        <is>
          <t>Nhóm</t>
        </is>
      </c>
      <c r="D13" s="7" t="n">
        <v>0.3</v>
      </c>
      <c r="E13" s="9" t="inlineStr">
        <is>
          <t>Mọi bảng có khóa chính; đủ khóa ngoại; quan hệ n-n có bảng trung gian với khóa kép phù hợp.</t>
        </is>
      </c>
      <c r="F13" s="9" t="inlineStr">
        <is>
          <t>Đủ khóa chính và phần lớn khóa ngoại; thiếu một khóa ngoại.</t>
        </is>
      </c>
      <c r="G13" s="9" t="inlineStr">
        <is>
          <t>Thiếu nhiều khóa ngoại, quan hệ chỉ thể hiện bằng quy ước đặt tên.</t>
        </is>
      </c>
      <c r="H13" s="9" t="inlineStr">
        <is>
          <t>Thiếu khóa chính hoặc không có khóa ngoại.</t>
        </is>
      </c>
      <c r="I13" s="9" t="inlineStr">
        <is>
          <t>Truy vấn sys.foreign_keys trên CSDL thật để đếm khóa ngoại.</t>
        </is>
      </c>
      <c r="J13" s="9" t="inlineStr">
        <is>
          <t>CSDL trên server Khoa; script tạo bảng.</t>
        </is>
      </c>
    </row>
    <row r="14">
      <c r="A14" s="7" t="inlineStr">
        <is>
          <t>2.3</t>
        </is>
      </c>
      <c r="B14" s="8" t="inlineStr">
        <is>
          <t>Ràng buộc toàn vẹn</t>
        </is>
      </c>
      <c r="C14" s="7" t="inlineStr">
        <is>
          <t>Nhóm</t>
        </is>
      </c>
      <c r="D14" s="7" t="n">
        <v>0.3</v>
      </c>
      <c r="E14" s="9" t="inlineStr">
        <is>
          <t>Dùng đúng NOT NULL, UNIQUE, CHECK, DEFAULT cho quy tắc nghiệp vụ (tồn kho ≥ 0, trạng thái hợp lệ, email duy nhất), đặt tên ràng buộc theo quy ước.</t>
        </is>
      </c>
      <c r="F14" s="9" t="inlineStr">
        <is>
          <t>Có phần lớn ràng buộc cần thiết; thiếu 1–2 ràng buộc quan trọng.</t>
        </is>
      </c>
      <c r="G14" s="9" t="inlineStr">
        <is>
          <t>Chỉ có NOT NULL/khóa, quy tắc nghiệp vụ để ứng dụng tự kiểm tra.</t>
        </is>
      </c>
      <c r="H14" s="9" t="inlineStr">
        <is>
          <t>Không có ràng buộc ngoài khóa chính.</t>
        </is>
      </c>
      <c r="I14" s="9" t="inlineStr">
        <is>
          <t>Thử chèn dữ liệu vi phạm (tồn kho âm, trạng thái lạ) qua thủ tục hoặc SSMS.</t>
        </is>
      </c>
      <c r="J14" s="9" t="inlineStr">
        <is>
          <t>Script ràng buộc; kết quả thử vi phạm.</t>
        </is>
      </c>
    </row>
    <row r="15">
      <c r="A15" s="7" t="inlineStr">
        <is>
          <t>2.4</t>
        </is>
      </c>
      <c r="B15" s="8" t="inlineStr">
        <is>
          <t>Bộ stored procedure và truy cập qua thủ tục</t>
        </is>
      </c>
      <c r="C15" s="7" t="inlineStr">
        <is>
          <t>Nhóm</t>
        </is>
      </c>
      <c r="D15" s="7" t="n">
        <v>0.4</v>
      </c>
      <c r="E15" s="9" t="inlineStr">
        <is>
          <t>Thủ tục phục vụ toàn bộ nghiệp vụ, tham số có kiểu, đặt tên theo quy ước, bí danh camelCase; backend chỉ gọi thủ tục (không SQL trực tiếp, không ORM); API dùng login chỉ quyền EXECUTE.</t>
        </is>
      </c>
      <c r="F15" s="9" t="inlineStr">
        <is>
          <t>Thủ tục đủ cho nghiệp vụ chính, backend chỉ gọi thủ tục; còn vài thủ tục thiếu tham số hóa hoặc sai quy ước.</t>
        </is>
      </c>
      <c r="G15" s="9" t="inlineStr">
        <is>
          <t>Thiếu thủ tục cho một nhóm nghiệp vụ hoặc backend còn câu SQL trực tiếp ở vài chỗ.</t>
        </is>
      </c>
      <c r="H15" s="9" t="inlineStr">
        <is>
          <t>Backend chủ yếu dùng SQL trực tiếp hoặc ORM.</t>
        </is>
      </c>
      <c r="I15" s="9" t="inlineStr">
        <is>
          <t>Tìm trong repo backend các từ SELECT/INSERT/UPDATE ngoài thư mục database/.</t>
        </is>
      </c>
      <c r="J15" s="9" t="inlineStr">
        <is>
          <t>database/*procedures*.sql; repo backend; danh mục thủ tục trong báo cáo.</t>
        </is>
      </c>
    </row>
    <row r="16">
      <c r="A16" s="7" t="inlineStr">
        <is>
          <t>2.5</t>
        </is>
      </c>
      <c r="B16" s="8" t="inlineStr">
        <is>
          <t>Giao dịch và xử lý lỗi trong thủ tục</t>
        </is>
      </c>
      <c r="C16" s="7" t="inlineStr">
        <is>
          <t>Nhóm</t>
        </is>
      </c>
      <c r="D16" s="7" t="n">
        <v>0.3</v>
      </c>
      <c r="E16" s="9" t="inlineStr">
        <is>
          <t>Nghiệp vụ nhiều bảng dùng giao dịch, TRY/CATCH, ném lại lỗi giữ mã (THROW 50400/50404/50409); xử lý đặt đồng thời (khóa dòng), có kịch bản kiểm thử chứng minh.</t>
        </is>
      </c>
      <c r="F16" s="9" t="inlineStr">
        <is>
          <t>Có giao dịch và mã lỗi đúng; chưa xử lý tranh chấp đồng thời.</t>
        </is>
      </c>
      <c r="G16" s="9" t="inlineStr">
        <is>
          <t>Có kiểm tra lỗi nhưng không dùng giao dịch cho thao tác nhiều bảng.</t>
        </is>
      </c>
      <c r="H16" s="9" t="inlineStr">
        <is>
          <t>Không có giao dịch, lỗi giữa chừng để lại dữ liệu dở dang.</t>
        </is>
      </c>
      <c r="I16" s="9" t="inlineStr">
        <is>
          <t>Yêu cầu nhóm chạy kịch bản đặt suất cuối cùng từ hai phiên hoặc giải thích UPDLOCK.</t>
        </is>
      </c>
      <c r="J16" s="9" t="inlineStr">
        <is>
          <t>Thủ tục đặt hàng/hủy đơn; database/tests/.</t>
        </is>
      </c>
    </row>
    <row r="17">
      <c r="A17" s="7" t="inlineStr">
        <is>
          <t>2.6</t>
        </is>
      </c>
      <c r="B17" s="8" t="inlineStr">
        <is>
          <t>Script tái tạo và triển khai trên server Khoa</t>
        </is>
      </c>
      <c r="C17" s="7" t="inlineStr">
        <is>
          <t>Nhóm</t>
        </is>
      </c>
      <c r="D17" s="7" t="n">
        <v>0.3</v>
      </c>
      <c r="E17" s="9" t="inlineStr">
        <is>
          <t>Script đánh số theo phiên bản dựng lại CSDL trống không lỗi, chạy lại được, có dữ liệu mẫu; CSDL đang chạy trên server Khoa giống script.</t>
        </is>
      </c>
      <c r="F17" s="9" t="inlineStr">
        <is>
          <t>Script dựng lại được CSDL; thiếu dữ liệu mẫu hoặc chưa chạy lại được nhiều lần.</t>
        </is>
      </c>
      <c r="G17" s="9" t="inlineStr">
        <is>
          <t>Script phải sửa tay mới chạy được, hoặc CSDL chỉ có trên máy cá nhân.</t>
        </is>
      </c>
      <c r="H17" s="9" t="inlineStr">
        <is>
          <t>Không có script; CSDL tạo thủ công.</t>
        </is>
      </c>
      <c r="I17" s="9" t="inlineStr">
        <is>
          <t>Chạy script trên một CSDL trống (hoặc xem nhóm chạy) và so số bảng/thủ tục với server.</t>
        </is>
      </c>
      <c r="J17" s="9" t="inlineStr">
        <is>
          <t>Thư mục database/; README triển khai; CSDL trên server Khoa.</t>
        </is>
      </c>
    </row>
    <row r="18" ht="30" customHeight="1">
      <c r="A18" s="11" t="inlineStr">
        <is>
          <t>CLO3 (PLO3 / PI 3.4) - Sử dụng được các công cụ đồ họa để trình bày các ý tưởng thiết kế dữ liệu - 2 điểm (đạt khi ≥ 1)</t>
        </is>
      </c>
    </row>
    <row r="19">
      <c r="A19" s="7" t="inlineStr">
        <is>
          <t>3.1</t>
        </is>
      </c>
      <c r="B19" s="8" t="inlineStr">
        <is>
          <t>ERD: ký hiệu và nội dung</t>
        </is>
      </c>
      <c r="C19" s="7" t="inlineStr">
        <is>
          <t>Nhóm</t>
        </is>
      </c>
      <c r="D19" s="7" t="n">
        <v>0.5</v>
      </c>
      <c r="E19" s="9" t="inlineStr">
        <is>
          <t>ERD vẽ bằng công cụ đồ họa, đúng một hệ ký hiệu, đủ thực thể, thuộc tính chính, khóa và lực lượng quan hệ.</t>
        </is>
      </c>
      <c r="F19" s="9" t="inlineStr">
        <is>
          <t>ERD đúng ký hiệu, đủ thực thể; thiếu lực lượng ở vài quan hệ hoặc thiếu thuộc tính chính.</t>
        </is>
      </c>
      <c r="G19" s="9" t="inlineStr">
        <is>
          <t>ERD lẫn lộn ký hiệu hoặc thiếu một thực thể.</t>
        </is>
      </c>
      <c r="H19" s="9" t="inlineStr">
        <is>
          <t>Chụp sơ đồ tự sinh không chỉnh sửa hoặc vẽ tay, thiếu nhiều thông tin.</t>
        </is>
      </c>
      <c r="I19" s="9" t="inlineStr">
        <is>
          <t>Chỉ chấm bản thân ERD; sự khớp với CSDL thật chấm ở 3.2.</t>
        </is>
      </c>
      <c r="J19" s="9" t="inlineStr">
        <is>
          <t>docs/ERD (file nguồn .drawio/dbdiagram + ảnh); báo cáo.</t>
        </is>
      </c>
    </row>
    <row r="20">
      <c r="A20" s="7" t="inlineStr">
        <is>
          <t>3.2</t>
        </is>
      </c>
      <c r="B20" s="8" t="inlineStr">
        <is>
          <t>ERD khớp CSDL thật</t>
        </is>
      </c>
      <c r="C20" s="7" t="inlineStr">
        <is>
          <t>Nhóm</t>
        </is>
      </c>
      <c r="D20" s="7" t="n">
        <v>0.4</v>
      </c>
      <c r="E20" s="9" t="inlineStr">
        <is>
          <t>Mọi bảng, khóa ngoại trên server khớp ERD và ngược lại.</t>
        </is>
      </c>
      <c r="F20" s="9" t="inlineStr">
        <is>
          <t>Lệch 1–2 chi tiết nhỏ (tên cột, một quan hệ phụ).</t>
        </is>
      </c>
      <c r="G20" s="9" t="inlineStr">
        <is>
          <t>ERD là bản cũ, lệch nhiều so với CSDL hiện tại.</t>
        </is>
      </c>
      <c r="H20" s="9" t="inlineStr">
        <is>
          <t>ERD không tương ứng với CSDL.</t>
        </is>
      </c>
      <c r="I20" s="9" t="inlineStr">
        <is>
          <t>Đối chiếu kết quả truy vấn sys.foreign_keys trên server với ERD trong báo cáo.</t>
        </is>
      </c>
      <c r="J20" s="9" t="inlineStr">
        <is>
          <t>ERD bản cuối; truy vấn sys.foreign_keys tại buổi bảo vệ.</t>
        </is>
      </c>
    </row>
    <row r="21">
      <c r="A21" s="7" t="inlineStr">
        <is>
          <t>3.3</t>
        </is>
      </c>
      <c r="B21" s="8" t="inlineStr">
        <is>
          <t>Sơ đồ tuần tự luồng realtime</t>
        </is>
      </c>
      <c r="C21" s="7" t="inlineStr">
        <is>
          <t>Nhóm</t>
        </is>
      </c>
      <c r="D21" s="7" t="n">
        <v>0.4</v>
      </c>
      <c r="E21" s="9" t="inlineStr">
        <is>
          <t>Thể hiện đủ các bên (ứng dụng nhân viên, API, thủ tục/SQL Server, gateway Socket.IO, room, ứng dụng khách), đúng thứ tự lưu trước gửi sau.</t>
        </is>
      </c>
      <c r="F21" s="9" t="inlineStr">
        <is>
          <t>Đủ các bên chính; thiếu một bước (ví dụ lưu thông báo) hoặc thứ tự chưa rõ.</t>
        </is>
      </c>
      <c r="G21" s="9" t="inlineStr">
        <is>
          <t>Chỉ thể hiện client ↔ server, thiếu CSDL hoặc room.</t>
        </is>
      </c>
      <c r="H21" s="9" t="inlineStr">
        <is>
          <t>Không đúng dạng sơ đồ tuần tự.</t>
        </is>
      </c>
      <c r="I21" s="9" t="inlineStr">
        <is>
          <t>So với cài đặt thật của nhóm (OrdersService, gateway).</t>
        </is>
      </c>
      <c r="J21" s="9" t="inlineStr">
        <is>
          <t>docs/so-do-tuan-tu; báo cáo; slide.</t>
        </is>
      </c>
    </row>
    <row r="22">
      <c r="A22" s="7" t="inlineStr">
        <is>
          <t>3.4</t>
        </is>
      </c>
      <c r="B22" s="8" t="inlineStr">
        <is>
          <t>Sơ đồ luồng màn hình</t>
        </is>
      </c>
      <c r="C22" s="7" t="inlineStr">
        <is>
          <t>Nhóm</t>
        </is>
      </c>
      <c r="D22" s="7" t="n">
        <v>0.3</v>
      </c>
      <c r="E22" s="9" t="inlineStr">
        <is>
          <t>Đủ màn hình của ứng dụng, mũi tên ghi thao tác, phân biệt tab/stack/modal, khớp cấu trúc Expo Router.</t>
        </is>
      </c>
      <c r="F22" s="9" t="inlineStr">
        <is>
          <t>Đủ màn hình chính; thiếu nhãn thao tác hoặc chưa phân biệt kiểu điều hướng.</t>
        </is>
      </c>
      <c r="G22" s="9" t="inlineStr">
        <is>
          <t>Thiếu nhiều màn hình hoặc không khớp ứng dụng.</t>
        </is>
      </c>
      <c r="H22" s="9" t="inlineStr">
        <is>
          <t>Không có hoặc chỉ là danh sách màn hình.</t>
        </is>
      </c>
      <c r="I22" s="9" t="inlineStr">
        <is>
          <t>Đối chiếu với cây thư mục app/.</t>
        </is>
      </c>
      <c r="J22" s="9" t="inlineStr">
        <is>
          <t>docs/luong-man-hinh; báo cáo.</t>
        </is>
      </c>
    </row>
    <row r="23">
      <c r="A23" s="7" t="inlineStr">
        <is>
          <t>3.5</t>
        </is>
      </c>
      <c r="B23" s="8" t="inlineStr">
        <is>
          <t>Chất lượng trình bày đồ họa</t>
        </is>
      </c>
      <c r="C23" s="7" t="inlineStr">
        <is>
          <t>Nhóm</t>
        </is>
      </c>
      <c r="D23" s="7" t="n">
        <v>0.2</v>
      </c>
      <c r="E23" s="9" t="inlineStr">
        <is>
          <t>Sơ đồ rõ nét, chữ đọc được trên máy chiếu, có chú thích, bố cục gọn; lưu cả file nguồn chỉnh sửa được.</t>
        </is>
      </c>
      <c r="F23" s="9" t="inlineStr">
        <is>
          <t>Rõ ràng, đọc được; thiếu chú thích hoặc file nguồn.</t>
        </is>
      </c>
      <c r="G23" s="9" t="inlineStr">
        <is>
          <t>Khó đọc (mờ, chữ nhỏ, chồng chéo) ở một số sơ đồ.</t>
        </is>
      </c>
      <c r="H23" s="9" t="inlineStr">
        <is>
          <t>Phần lớn sơ đồ không đọc được.</t>
        </is>
      </c>
      <c r="I23" s="9" t="inlineStr">
        <is>
          <t>Chấm trên slide chiếu ở Demo Day và bản báo cáo.</t>
        </is>
      </c>
      <c r="J23" s="9" t="inlineStr">
        <is>
          <t>Slide; báo cáo; thư mục docs/ (file nguồn).</t>
        </is>
      </c>
    </row>
    <row r="24">
      <c r="A24" s="7" t="inlineStr">
        <is>
          <t>3.6</t>
        </is>
      </c>
      <c r="B24" s="8" t="inlineStr">
        <is>
          <t>Giải thích thiết kế bằng sơ đồ khi bảo vệ</t>
        </is>
      </c>
      <c r="C24" s="7" t="inlineStr">
        <is>
          <t>Cá nhân</t>
        </is>
      </c>
      <c r="D24" s="7" t="n">
        <v>0.2</v>
      </c>
      <c r="E24" s="9" t="inlineStr">
        <is>
          <t>Dùng sơ đồ giải thích quyết định thiết kế và lý do (ví dụ vì sao lưu UnitPrice), trả lời đúng câu hỏi về sơ đồ.</t>
        </is>
      </c>
      <c r="F24" s="9" t="inlineStr">
        <is>
          <t>Giải thích đúng nội dung sơ đồ; lý do thiết kế chưa rõ.</t>
        </is>
      </c>
      <c r="G24" s="9" t="inlineStr">
        <is>
          <t>Đọc lại sơ đồ, chưa giải thích được quyết định.</t>
        </is>
      </c>
      <c r="H24" s="9" t="inlineStr">
        <is>
          <t>Không giải thích được sơ đồ mình trình bày.</t>
        </is>
      </c>
      <c r="I24" s="9" t="inlineStr">
        <is>
          <t>Chấm cá nhân thành viên trình bày phần thiết kế; thành viên không trình bày sơ đồ thì hỏi một câu về ERD.</t>
        </is>
      </c>
      <c r="J24" s="9" t="inlineStr">
        <is>
          <t>Phần trình bày và hỏi đáp ở Demo Day.</t>
        </is>
      </c>
    </row>
    <row r="25" ht="30" customHeight="1">
      <c r="A25" s="12" t="inlineStr">
        <is>
          <t>CLO4 (PLO5 / PI 5.2) - Thể hiện được vai trò cá nhân trong nhóm một cách rõ ràng - 3 điểm (đạt khi ≥ 1.5)</t>
        </is>
      </c>
    </row>
    <row r="26">
      <c r="A26" s="7" t="inlineStr">
        <is>
          <t>4.1</t>
        </is>
      </c>
      <c r="B26" s="8" t="inlineStr">
        <is>
          <t>Đóng góp mã nguồn</t>
        </is>
      </c>
      <c r="C26" s="7" t="inlineStr">
        <is>
          <t>Cá nhân</t>
        </is>
      </c>
      <c r="D26" s="7" t="n">
        <v>0.6</v>
      </c>
      <c r="E26" s="9" t="inlineStr">
        <is>
          <t>Commit/PR đều đặn suốt các sprint, khớp phần việc được phân công, nội dung có ý nghĩa.</t>
        </is>
      </c>
      <c r="F26" s="9" t="inlineStr">
        <is>
          <t>Đóng góp rõ ràng, khớp phân công; tập trung vào vài thời điểm.</t>
        </is>
      </c>
      <c r="G26" s="9" t="inlineStr">
        <is>
          <t>Đóng góp ít hoặc dồn vào cuối kỳ.</t>
        </is>
      </c>
      <c r="H26" s="9" t="inlineStr">
        <is>
          <t>Gần như không có commit/PR của cá nhân.</t>
        </is>
      </c>
      <c r="I26" s="9" t="inlineStr">
        <is>
          <t>Xem GitHub Insights/Contributors và lịch sử PR; không chấm theo số dòng mã. Đóng góp không phải mã (sơ đồ, báo cáo) được tính nếu có minh chứng trong repo.</t>
        </is>
      </c>
      <c r="J26" s="9" t="inlineStr">
        <is>
          <t>Lịch sử commit/PR; docs/phan-vai.md; docs/traceability.md.</t>
        </is>
      </c>
    </row>
    <row r="27">
      <c r="A27" s="7" t="inlineStr">
        <is>
          <t>4.2</t>
        </is>
      </c>
      <c r="B27" s="8" t="inlineStr">
        <is>
          <t>Hoàn thành nhiệm vụ đúng hạn</t>
        </is>
      </c>
      <c r="C27" s="7" t="inlineStr">
        <is>
          <t>Cá nhân</t>
        </is>
      </c>
      <c r="D27" s="7" t="n">
        <v>0.4</v>
      </c>
      <c r="E27" s="9" t="inlineStr">
        <is>
          <t>Hoàn thành mọi story được giao trong sprint cam kết.</t>
        </is>
      </c>
      <c r="F27" s="9" t="inlineStr">
        <is>
          <t>Hoàn thành phần lớn; một story trễ một sprint.</t>
        </is>
      </c>
      <c r="G27" s="9" t="inlineStr">
        <is>
          <t>Nhiều story trễ hoặc phải chuyển cho người khác.</t>
        </is>
      </c>
      <c r="H27" s="9" t="inlineStr">
        <is>
          <t>Không hoàn thành nhiệm vụ được giao.</t>
        </is>
      </c>
      <c r="I27" s="9" t="inlineStr">
        <is>
          <t>Đối chiếu board sprint (Jira/Trello/GitHub Projects) với người phụ trách từng story.</t>
        </is>
      </c>
      <c r="J27" s="9" t="inlineStr">
        <is>
          <t>Board sprint; biên bản Sprint Review; ma trận truy vết.</t>
        </is>
      </c>
    </row>
    <row r="28">
      <c r="A28" s="7" t="inlineStr">
        <is>
          <t>4.3</t>
        </is>
      </c>
      <c r="B28" s="8" t="inlineStr">
        <is>
          <t>Báo cáo vai trò cá nhân</t>
        </is>
      </c>
      <c r="C28" s="7" t="inlineStr">
        <is>
          <t>Cá nhân</t>
        </is>
      </c>
      <c r="D28" s="7" t="n">
        <v>0.4</v>
      </c>
      <c r="E28" s="9" t="inlineStr">
        <is>
          <t>Báo cáo đủ mục (vai trò, đóng góp có link PR, khó khăn đã giải quyết, sử dụng AI, tự đánh giá), khớp lịch sử repo.</t>
        </is>
      </c>
      <c r="F28" s="9" t="inlineStr">
        <is>
          <t>Đủ mục, có link minh chứng; phần tự đánh giá hoặc khó khăn còn chung chung.</t>
        </is>
      </c>
      <c r="G28" s="9" t="inlineStr">
        <is>
          <t>Thiếu mục hoặc thiếu link minh chứng.</t>
        </is>
      </c>
      <c r="H28" s="9" t="inlineStr">
        <is>
          <t>Không nộp hoặc nội dung không khớp đóng góp thật.</t>
        </is>
      </c>
      <c r="I28" s="9" t="inlineStr">
        <is>
          <t>Kiểm tra ngẫu nhiên 2 link PR trong báo cáo.</t>
        </is>
      </c>
      <c r="J28" s="9" t="inlineStr">
        <is>
          <t>Báo cáo vai trò cá nhân nộp trên Moodle.</t>
        </is>
      </c>
    </row>
    <row r="29">
      <c r="A29" s="7" t="inlineStr">
        <is>
          <t>4.4</t>
        </is>
      </c>
      <c r="B29" s="8" t="inlineStr">
        <is>
          <t>Trình bày phần phụ trách ở Demo Day</t>
        </is>
      </c>
      <c r="C29" s="7" t="inlineStr">
        <is>
          <t>Cá nhân</t>
        </is>
      </c>
      <c r="D29" s="7" t="n">
        <v>0.4</v>
      </c>
      <c r="E29" s="9" t="inlineStr">
        <is>
          <t>Tự trình bày phần mình phụ trách rõ ràng, đúng thời gian, demo trơn tru.</t>
        </is>
      </c>
      <c r="F29" s="9" t="inlineStr">
        <is>
          <t>Trình bày đúng nội dung; còn lúng túng hoặc quá giờ.</t>
        </is>
      </c>
      <c r="G29" s="9" t="inlineStr">
        <is>
          <t>Trình bày ngắn, phải để thành viên khác hỗ trợ.</t>
        </is>
      </c>
      <c r="H29" s="9" t="inlineStr">
        <is>
          <t>Không trình bày.</t>
        </is>
      </c>
      <c r="I29" s="9" t="inlineStr">
        <is>
          <t>Mỗi thành viên phải trình bày ít nhất một phần; ghi lại phần của từng người khi nhóm trình bày.</t>
        </is>
      </c>
      <c r="J29" s="9" t="inlineStr">
        <is>
          <t>Phần trình bày tại Demo Day.</t>
        </is>
      </c>
    </row>
    <row r="30">
      <c r="A30" s="7" t="inlineStr">
        <is>
          <t>4.5</t>
        </is>
      </c>
      <c r="B30" s="8" t="inlineStr">
        <is>
          <t>Trả lời câu hỏi kỹ thuật (bảo vệ mã)</t>
        </is>
      </c>
      <c r="C30" s="7" t="inlineStr">
        <is>
          <t>Cá nhân</t>
        </is>
      </c>
      <c r="D30" s="7" t="n">
        <v>0.6</v>
      </c>
      <c r="E30" s="9" t="inlineStr">
        <is>
          <t>Giải thích chính xác đoạn mã mình commit, nêu được hệ quả khi thay đổi và lý do lựa chọn.</t>
        </is>
      </c>
      <c r="F30" s="9" t="inlineStr">
        <is>
          <t>Giải thích đúng đoạn mã; còn lúng túng ở câu hỏi thay đổi giả định.</t>
        </is>
      </c>
      <c r="G30" s="9" t="inlineStr">
        <is>
          <t>Giải thích được một phần, phải gợi ý nhiều.</t>
        </is>
      </c>
      <c r="H30" s="9" t="inlineStr">
        <is>
          <t>Không giải thích được mã mình commit.</t>
        </is>
      </c>
      <c r="I30" s="9" t="inlineStr">
        <is>
          <t>Chọn ngẫu nhiên đoạn mã của chính sinh viên (git blame). Theo quy định học phần, phần mã không giải thích được thì không tính điểm: có thể hạ điểm tiêu chí nhóm liên quan cho riêng sinh viên đó.</t>
        </is>
      </c>
      <c r="J30" s="9" t="inlineStr">
        <is>
          <t>Hỏi đáp tại Demo Day; lịch sử commit.</t>
        </is>
      </c>
    </row>
    <row r="31">
      <c r="A31" s="7" t="inlineStr">
        <is>
          <t>4.6</t>
        </is>
      </c>
      <c r="B31" s="8" t="inlineStr">
        <is>
          <t>Sử dụng AI minh bạch</t>
        </is>
      </c>
      <c r="C31" s="7" t="inlineStr">
        <is>
          <t>Cá nhân</t>
        </is>
      </c>
      <c r="D31" s="7" t="n">
        <v>0.3</v>
      </c>
      <c r="E31" s="9" t="inlineStr">
        <is>
          <t>PROMPTS.md ghi prompt chính của mình kèm kết quả và phần đã sửa; chỉ ra được lỗi AI gây ra và cách phát hiện.</t>
        </is>
      </c>
      <c r="F31" s="9" t="inlineStr">
        <is>
          <t>Ghi prompt đầy đủ; chưa nêu phần sửa hoặc lỗi của AI.</t>
        </is>
      </c>
      <c r="G31" s="9" t="inlineStr">
        <is>
          <t>Ghi rất ít prompt so với lượng mã đóng góp.</t>
        </is>
      </c>
      <c r="H31" s="9" t="inlineStr">
        <is>
          <t>Không ghi prompt nào.</t>
        </is>
      </c>
      <c r="I31" s="9" t="inlineStr">
        <is>
          <t>Lọc PROMPTS.md theo tên sinh viên.</t>
        </is>
      </c>
      <c r="J31" s="9" t="inlineStr">
        <is>
          <t>PROMPTS.md; chương Sử dụng AI trong báo cáo.</t>
        </is>
      </c>
    </row>
    <row r="32">
      <c r="A32" s="7" t="inlineStr">
        <is>
          <t>4.7</t>
        </is>
      </c>
      <c r="B32" s="8" t="inlineStr">
        <is>
          <t>Phối hợp nhóm và review chéo</t>
        </is>
      </c>
      <c r="C32" s="7" t="inlineStr">
        <is>
          <t>Cá nhân</t>
        </is>
      </c>
      <c r="D32" s="7" t="n">
        <v>0.3</v>
      </c>
      <c r="E32" s="9" t="inlineStr">
        <is>
          <t>Review PR của thành viên khác có nhận xét cụ thể; tham gia đều các buổi Sprint Review/Retrospective.</t>
        </is>
      </c>
      <c r="F32" s="9" t="inlineStr">
        <is>
          <t>Có review PR; tham gia phần lớn các buổi.</t>
        </is>
      </c>
      <c r="G32" s="9" t="inlineStr">
        <is>
          <t>Review hình thức (chỉ approve) hoặc vắng nhiều buổi.</t>
        </is>
      </c>
      <c r="H32" s="9" t="inlineStr">
        <is>
          <t>Không tham gia review hay sự kiện nhóm.</t>
        </is>
      </c>
      <c r="I32" s="9" t="inlineStr">
        <is>
          <t>Xem tab Pull requests (Reviewed by) và biên bản sprint.</t>
        </is>
      </c>
      <c r="J32" s="9" t="inlineStr">
        <is>
          <t>Lịch sử review PR; biên bản Sprint Review/Retrospective.</t>
        </is>
      </c>
    </row>
  </sheetData>
  <mergeCells count="4">
    <mergeCell ref="A11:J11"/>
    <mergeCell ref="A18:J18"/>
    <mergeCell ref="A25:J2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30" customWidth="1" min="41" max="41"/>
  </cols>
  <sheetData>
    <row r="1">
      <c r="A1" s="5" t="inlineStr">
        <is>
          <t>STT</t>
        </is>
      </c>
      <c r="B1" s="5" t="inlineStr">
        <is>
          <t>MSSV</t>
        </is>
      </c>
      <c r="C1" s="5" t="inlineStr">
        <is>
          <t>Họ và tên</t>
        </is>
      </c>
      <c r="D1" s="5" t="inlineStr">
        <is>
          <t>Nhóm</t>
        </is>
      </c>
      <c r="E1" s="13" t="inlineStr">
        <is>
          <t>CLO1 (3 điểm)</t>
        </is>
      </c>
      <c r="F1" s="14" t="n"/>
      <c r="G1" s="14" t="n"/>
      <c r="H1" s="14" t="n"/>
      <c r="I1" s="14" t="n"/>
      <c r="J1" s="14" t="n"/>
      <c r="K1" s="14" t="n"/>
      <c r="L1" s="14" t="n"/>
      <c r="M1" s="15" t="inlineStr">
        <is>
          <t>CLO2 (2 điểm)</t>
        </is>
      </c>
      <c r="N1" s="16" t="n"/>
      <c r="O1" s="16" t="n"/>
      <c r="P1" s="16" t="n"/>
      <c r="Q1" s="16" t="n"/>
      <c r="R1" s="16" t="n"/>
      <c r="S1" s="17" t="inlineStr">
        <is>
          <t>CLO3 (2 điểm)</t>
        </is>
      </c>
      <c r="T1" s="18" t="n"/>
      <c r="U1" s="18" t="n"/>
      <c r="V1" s="18" t="n"/>
      <c r="W1" s="18" t="n"/>
      <c r="X1" s="18" t="n"/>
      <c r="Y1" s="19" t="inlineStr">
        <is>
          <t>CLO4 (3 điểm)</t>
        </is>
      </c>
      <c r="Z1" s="20" t="n"/>
      <c r="AA1" s="20" t="n"/>
      <c r="AB1" s="20" t="n"/>
      <c r="AC1" s="20" t="n"/>
      <c r="AD1" s="20" t="n"/>
      <c r="AE1" s="20" t="n"/>
      <c r="AF1" s="21" t="inlineStr">
        <is>
          <t>Điểm CLO</t>
        </is>
      </c>
      <c r="AG1" s="22" t="n"/>
      <c r="AH1" s="22" t="n"/>
      <c r="AI1" s="22" t="n"/>
      <c r="AJ1" s="5" t="inlineStr">
        <is>
          <t>Tổng (10)</t>
        </is>
      </c>
      <c r="AK1" s="23" t="inlineStr">
        <is>
          <t>Đạt CLO</t>
        </is>
      </c>
      <c r="AL1" s="24" t="n"/>
      <c r="AM1" s="24" t="n"/>
      <c r="AN1" s="24" t="n"/>
      <c r="AO1" s="5" t="inlineStr">
        <is>
          <t>Ghi chú</t>
        </is>
      </c>
    </row>
    <row r="2" ht="75" customHeight="1">
      <c r="E2" s="25" t="inlineStr">
        <is>
          <t>1.1 Sơ đồ chức năng và phạm vi</t>
        </is>
      </c>
      <c r="F2" s="25" t="inlineStr">
        <is>
          <t>1.2 Luồng nghiệp vụ chính chạy end-to-end trên Android</t>
        </is>
      </c>
      <c r="G2" s="25" t="inlineStr">
        <is>
          <t>1.3 Xác thực và phân quyền</t>
        </is>
      </c>
      <c r="H2" s="25" t="inlineStr">
        <is>
          <t>1.4 Tích hợp tính năng thiết bị</t>
        </is>
      </c>
      <c r="I2" s="25" t="inlineStr">
        <is>
          <t>1.5 Thông báo thời gian thực (Socket.IO)</t>
        </is>
      </c>
      <c r="J2" s="25" t="inlineStr">
        <is>
          <t>1.6 Tổ chức thành phần và điều hướng</t>
        </is>
      </c>
      <c r="K2" s="25" t="inlineStr">
        <is>
          <t>1.7 Xử lý lỗi và trạng thái dữ liệu</t>
        </is>
      </c>
      <c r="L2" s="25" t="inlineStr">
        <is>
          <t>1.8 Kiểm thử và chất lượng</t>
        </is>
      </c>
      <c r="M2" s="26" t="inlineStr">
        <is>
          <t>2.1 Mô hình bảng và chuẩn hóa</t>
        </is>
      </c>
      <c r="N2" s="26" t="inlineStr">
        <is>
          <t>2.2 Khóa và quan hệ</t>
        </is>
      </c>
      <c r="O2" s="26" t="inlineStr">
        <is>
          <t>2.3 Ràng buộc toàn vẹn</t>
        </is>
      </c>
      <c r="P2" s="26" t="inlineStr">
        <is>
          <t>2.4 Bộ stored procedure và truy cập qua thủ tục</t>
        </is>
      </c>
      <c r="Q2" s="26" t="inlineStr">
        <is>
          <t>2.5 Giao dịch và xử lý lỗi trong thủ tục</t>
        </is>
      </c>
      <c r="R2" s="26" t="inlineStr">
        <is>
          <t>2.6 Script tái tạo và triển khai trên server Khoa</t>
        </is>
      </c>
      <c r="S2" s="27" t="inlineStr">
        <is>
          <t>3.1 ERD: ký hiệu và nội dung</t>
        </is>
      </c>
      <c r="T2" s="27" t="inlineStr">
        <is>
          <t>3.2 ERD khớp CSDL thật</t>
        </is>
      </c>
      <c r="U2" s="27" t="inlineStr">
        <is>
          <t>3.3 Sơ đồ tuần tự luồng realtime</t>
        </is>
      </c>
      <c r="V2" s="27" t="inlineStr">
        <is>
          <t>3.4 Sơ đồ luồng màn hình</t>
        </is>
      </c>
      <c r="W2" s="27" t="inlineStr">
        <is>
          <t>3.5 Chất lượng trình bày đồ họa</t>
        </is>
      </c>
      <c r="X2" s="27" t="inlineStr">
        <is>
          <t>3.6 Giải thích thiết kế bằng sơ đồ khi bảo vệ (CN)</t>
        </is>
      </c>
      <c r="Y2" s="28" t="inlineStr">
        <is>
          <t>4.1 Đóng góp mã nguồn (CN)</t>
        </is>
      </c>
      <c r="Z2" s="28" t="inlineStr">
        <is>
          <t>4.2 Hoàn thành nhiệm vụ đúng hạn (CN)</t>
        </is>
      </c>
      <c r="AA2" s="28" t="inlineStr">
        <is>
          <t>4.3 Báo cáo vai trò cá nhân (CN)</t>
        </is>
      </c>
      <c r="AB2" s="28" t="inlineStr">
        <is>
          <t>4.4 Trình bày phần phụ trách ở Demo Day (CN)</t>
        </is>
      </c>
      <c r="AC2" s="28" t="inlineStr">
        <is>
          <t>4.5 Trả lời câu hỏi kỹ thuật (bảo vệ mã) (CN)</t>
        </is>
      </c>
      <c r="AD2" s="28" t="inlineStr">
        <is>
          <t>4.6 Sử dụng AI minh bạch (CN)</t>
        </is>
      </c>
      <c r="AE2" s="28" t="inlineStr">
        <is>
          <t>4.7 Phối hợp nhóm và review chéo (CN)</t>
        </is>
      </c>
      <c r="AF2" s="29" t="inlineStr">
        <is>
          <t>CLO1</t>
        </is>
      </c>
      <c r="AG2" s="29" t="inlineStr">
        <is>
          <t>CLO2</t>
        </is>
      </c>
      <c r="AH2" s="29" t="inlineStr">
        <is>
          <t>CLO3</t>
        </is>
      </c>
      <c r="AI2" s="29" t="inlineStr">
        <is>
          <t>CLO4</t>
        </is>
      </c>
      <c r="AK2" s="30" t="inlineStr">
        <is>
          <t>CLO1</t>
        </is>
      </c>
      <c r="AL2" s="30" t="inlineStr">
        <is>
          <t>CLO2</t>
        </is>
      </c>
      <c r="AM2" s="30" t="inlineStr">
        <is>
          <t>CLO3</t>
        </is>
      </c>
      <c r="AN2" s="30" t="inlineStr">
        <is>
          <t>CLO4</t>
        </is>
      </c>
    </row>
    <row r="3">
      <c r="E3" s="31" t="n">
        <v>0.4</v>
      </c>
      <c r="F3" s="31" t="n">
        <v>0.6</v>
      </c>
      <c r="G3" s="31" t="n">
        <v>0.4</v>
      </c>
      <c r="H3" s="31" t="n">
        <v>0.3</v>
      </c>
      <c r="I3" s="31" t="n">
        <v>0.4</v>
      </c>
      <c r="J3" s="31" t="n">
        <v>0.3</v>
      </c>
      <c r="K3" s="31" t="n">
        <v>0.3</v>
      </c>
      <c r="L3" s="31" t="n">
        <v>0.3</v>
      </c>
      <c r="M3" s="31" t="n">
        <v>0.4</v>
      </c>
      <c r="N3" s="31" t="n">
        <v>0.3</v>
      </c>
      <c r="O3" s="31" t="n">
        <v>0.3</v>
      </c>
      <c r="P3" s="31" t="n">
        <v>0.4</v>
      </c>
      <c r="Q3" s="31" t="n">
        <v>0.3</v>
      </c>
      <c r="R3" s="31" t="n">
        <v>0.3</v>
      </c>
      <c r="S3" s="31" t="n">
        <v>0.5</v>
      </c>
      <c r="T3" s="31" t="n">
        <v>0.4</v>
      </c>
      <c r="U3" s="31" t="n">
        <v>0.4</v>
      </c>
      <c r="V3" s="31" t="n">
        <v>0.3</v>
      </c>
      <c r="W3" s="31" t="n">
        <v>0.2</v>
      </c>
      <c r="X3" s="31" t="n">
        <v>0.2</v>
      </c>
      <c r="Y3" s="31" t="n">
        <v>0.6</v>
      </c>
      <c r="Z3" s="31" t="n">
        <v>0.4</v>
      </c>
      <c r="AA3" s="31" t="n">
        <v>0.4</v>
      </c>
      <c r="AB3" s="31" t="n">
        <v>0.4</v>
      </c>
      <c r="AC3" s="31" t="n">
        <v>0.6</v>
      </c>
      <c r="AD3" s="31" t="n">
        <v>0.3</v>
      </c>
      <c r="AE3" s="31" t="n">
        <v>0.3</v>
      </c>
      <c r="AF3" s="31" t="n">
        <v>3</v>
      </c>
      <c r="AG3" s="31" t="n">
        <v>2</v>
      </c>
      <c r="AH3" s="31" t="n">
        <v>2</v>
      </c>
      <c r="AI3" s="31" t="n">
        <v>3</v>
      </c>
      <c r="AJ3" s="7" t="n">
        <v>10</v>
      </c>
      <c r="AK3" s="31" t="inlineStr">
        <is>
          <t>≥ 1.5</t>
        </is>
      </c>
      <c r="AL3" s="31" t="inlineStr">
        <is>
          <t>≥ 1</t>
        </is>
      </c>
      <c r="AM3" s="31" t="inlineStr">
        <is>
          <t>≥ 1</t>
        </is>
      </c>
      <c r="AN3" s="31" t="inlineStr">
        <is>
          <t>≥ 1.5</t>
        </is>
      </c>
      <c r="AO3" s="7" t="inlineStr"/>
    </row>
    <row r="4">
      <c r="A4" s="7" t="n">
        <v>1</v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7">
        <f>IF(COUNT(E4:L4)=8,ROUND(SUM(E4:L4),2),"")</f>
        <v/>
      </c>
      <c r="AG4" s="7">
        <f>IF(COUNT(M4:R4)=6,ROUND(SUM(M4:R4),2),"")</f>
        <v/>
      </c>
      <c r="AH4" s="7">
        <f>IF(COUNT(S4:X4)=6,ROUND(SUM(S4:X4),2),"")</f>
        <v/>
      </c>
      <c r="AI4" s="7">
        <f>IF(COUNT(Y4:AE4)=7,ROUND(SUM(Y4:AE4),2),"")</f>
        <v/>
      </c>
      <c r="AJ4" s="33">
        <f>IF(COUNT(AF4:AI4)=4,ROUND(SUM(AF4:AI4),2),"")</f>
        <v/>
      </c>
      <c r="AK4" s="7">
        <f>IF(AF4="","",IF(AF4&gt;=1.5,"Đạt","Chưa đạt"))</f>
        <v/>
      </c>
      <c r="AL4" s="7">
        <f>IF(AG4="","",IF(AG4&gt;=1.0,"Đạt","Chưa đạt"))</f>
        <v/>
      </c>
      <c r="AM4" s="7">
        <f>IF(AH4="","",IF(AH4&gt;=1.0,"Đạt","Chưa đạt"))</f>
        <v/>
      </c>
      <c r="AN4" s="7">
        <f>IF(AI4="","",IF(AI4&gt;=1.5,"Đạt","Chưa đạt"))</f>
        <v/>
      </c>
      <c r="AO4" s="32" t="n"/>
    </row>
    <row r="5">
      <c r="A5" s="7" t="n">
        <v>2</v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  <c r="V5" s="32" t="n"/>
      <c r="W5" s="32" t="n"/>
      <c r="X5" s="32" t="n"/>
      <c r="Y5" s="32" t="n"/>
      <c r="Z5" s="32" t="n"/>
      <c r="AA5" s="32" t="n"/>
      <c r="AB5" s="32" t="n"/>
      <c r="AC5" s="32" t="n"/>
      <c r="AD5" s="32" t="n"/>
      <c r="AE5" s="32" t="n"/>
      <c r="AF5" s="7">
        <f>IF(COUNT(E5:L5)=8,ROUND(SUM(E5:L5),2),"")</f>
        <v/>
      </c>
      <c r="AG5" s="7">
        <f>IF(COUNT(M5:R5)=6,ROUND(SUM(M5:R5),2),"")</f>
        <v/>
      </c>
      <c r="AH5" s="7">
        <f>IF(COUNT(S5:X5)=6,ROUND(SUM(S5:X5),2),"")</f>
        <v/>
      </c>
      <c r="AI5" s="7">
        <f>IF(COUNT(Y5:AE5)=7,ROUND(SUM(Y5:AE5),2),"")</f>
        <v/>
      </c>
      <c r="AJ5" s="33">
        <f>IF(COUNT(AF5:AI5)=4,ROUND(SUM(AF5:AI5),2),"")</f>
        <v/>
      </c>
      <c r="AK5" s="7">
        <f>IF(AF5="","",IF(AF5&gt;=1.5,"Đạt","Chưa đạt"))</f>
        <v/>
      </c>
      <c r="AL5" s="7">
        <f>IF(AG5="","",IF(AG5&gt;=1.0,"Đạt","Chưa đạt"))</f>
        <v/>
      </c>
      <c r="AM5" s="7">
        <f>IF(AH5="","",IF(AH5&gt;=1.0,"Đạt","Chưa đạt"))</f>
        <v/>
      </c>
      <c r="AN5" s="7">
        <f>IF(AI5="","",IF(AI5&gt;=1.5,"Đạt","Chưa đạt"))</f>
        <v/>
      </c>
      <c r="AO5" s="32" t="n"/>
    </row>
    <row r="6">
      <c r="A6" s="7" t="n">
        <v>3</v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7">
        <f>IF(COUNT(E6:L6)=8,ROUND(SUM(E6:L6),2),"")</f>
        <v/>
      </c>
      <c r="AG6" s="7">
        <f>IF(COUNT(M6:R6)=6,ROUND(SUM(M6:R6),2),"")</f>
        <v/>
      </c>
      <c r="AH6" s="7">
        <f>IF(COUNT(S6:X6)=6,ROUND(SUM(S6:X6),2),"")</f>
        <v/>
      </c>
      <c r="AI6" s="7">
        <f>IF(COUNT(Y6:AE6)=7,ROUND(SUM(Y6:AE6),2),"")</f>
        <v/>
      </c>
      <c r="AJ6" s="33">
        <f>IF(COUNT(AF6:AI6)=4,ROUND(SUM(AF6:AI6),2),"")</f>
        <v/>
      </c>
      <c r="AK6" s="7">
        <f>IF(AF6="","",IF(AF6&gt;=1.5,"Đạt","Chưa đạt"))</f>
        <v/>
      </c>
      <c r="AL6" s="7">
        <f>IF(AG6="","",IF(AG6&gt;=1.0,"Đạt","Chưa đạt"))</f>
        <v/>
      </c>
      <c r="AM6" s="7">
        <f>IF(AH6="","",IF(AH6&gt;=1.0,"Đạt","Chưa đạt"))</f>
        <v/>
      </c>
      <c r="AN6" s="7">
        <f>IF(AI6="","",IF(AI6&gt;=1.5,"Đạt","Chưa đạt"))</f>
        <v/>
      </c>
      <c r="AO6" s="32" t="n"/>
    </row>
    <row r="7">
      <c r="A7" s="7" t="n">
        <v>4</v>
      </c>
      <c r="B7" s="32" t="n"/>
      <c r="C7" s="32" t="n"/>
      <c r="D7" s="32" t="n"/>
      <c r="E7" s="32" t="n"/>
      <c r="F7" s="32" t="n"/>
      <c r="G7" s="32" t="n"/>
      <c r="H7" s="32" t="n"/>
      <c r="I7" s="32" t="n"/>
      <c r="J7" s="32" t="n"/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2" t="n"/>
      <c r="U7" s="32" t="n"/>
      <c r="V7" s="32" t="n"/>
      <c r="W7" s="32" t="n"/>
      <c r="X7" s="32" t="n"/>
      <c r="Y7" s="32" t="n"/>
      <c r="Z7" s="32" t="n"/>
      <c r="AA7" s="32" t="n"/>
      <c r="AB7" s="32" t="n"/>
      <c r="AC7" s="32" t="n"/>
      <c r="AD7" s="32" t="n"/>
      <c r="AE7" s="32" t="n"/>
      <c r="AF7" s="7">
        <f>IF(COUNT(E7:L7)=8,ROUND(SUM(E7:L7),2),"")</f>
        <v/>
      </c>
      <c r="AG7" s="7">
        <f>IF(COUNT(M7:R7)=6,ROUND(SUM(M7:R7),2),"")</f>
        <v/>
      </c>
      <c r="AH7" s="7">
        <f>IF(COUNT(S7:X7)=6,ROUND(SUM(S7:X7),2),"")</f>
        <v/>
      </c>
      <c r="AI7" s="7">
        <f>IF(COUNT(Y7:AE7)=7,ROUND(SUM(Y7:AE7),2),"")</f>
        <v/>
      </c>
      <c r="AJ7" s="33">
        <f>IF(COUNT(AF7:AI7)=4,ROUND(SUM(AF7:AI7),2),"")</f>
        <v/>
      </c>
      <c r="AK7" s="7">
        <f>IF(AF7="","",IF(AF7&gt;=1.5,"Đạt","Chưa đạt"))</f>
        <v/>
      </c>
      <c r="AL7" s="7">
        <f>IF(AG7="","",IF(AG7&gt;=1.0,"Đạt","Chưa đạt"))</f>
        <v/>
      </c>
      <c r="AM7" s="7">
        <f>IF(AH7="","",IF(AH7&gt;=1.0,"Đạt","Chưa đạt"))</f>
        <v/>
      </c>
      <c r="AN7" s="7">
        <f>IF(AI7="","",IF(AI7&gt;=1.5,"Đạt","Chưa đạt"))</f>
        <v/>
      </c>
      <c r="AO7" s="32" t="n"/>
    </row>
    <row r="8">
      <c r="A8" s="7" t="n">
        <v>5</v>
      </c>
      <c r="B8" s="32" t="n"/>
      <c r="C8" s="32" t="n"/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7">
        <f>IF(COUNT(E8:L8)=8,ROUND(SUM(E8:L8),2),"")</f>
        <v/>
      </c>
      <c r="AG8" s="7">
        <f>IF(COUNT(M8:R8)=6,ROUND(SUM(M8:R8),2),"")</f>
        <v/>
      </c>
      <c r="AH8" s="7">
        <f>IF(COUNT(S8:X8)=6,ROUND(SUM(S8:X8),2),"")</f>
        <v/>
      </c>
      <c r="AI8" s="7">
        <f>IF(COUNT(Y8:AE8)=7,ROUND(SUM(Y8:AE8),2),"")</f>
        <v/>
      </c>
      <c r="AJ8" s="33">
        <f>IF(COUNT(AF8:AI8)=4,ROUND(SUM(AF8:AI8),2),"")</f>
        <v/>
      </c>
      <c r="AK8" s="7">
        <f>IF(AF8="","",IF(AF8&gt;=1.5,"Đạt","Chưa đạt"))</f>
        <v/>
      </c>
      <c r="AL8" s="7">
        <f>IF(AG8="","",IF(AG8&gt;=1.0,"Đạt","Chưa đạt"))</f>
        <v/>
      </c>
      <c r="AM8" s="7">
        <f>IF(AH8="","",IF(AH8&gt;=1.0,"Đạt","Chưa đạt"))</f>
        <v/>
      </c>
      <c r="AN8" s="7">
        <f>IF(AI8="","",IF(AI8&gt;=1.5,"Đạt","Chưa đạt"))</f>
        <v/>
      </c>
      <c r="AO8" s="32" t="n"/>
    </row>
    <row r="9">
      <c r="A9" s="7" t="n">
        <v>6</v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  <c r="AA9" s="32" t="n"/>
      <c r="AB9" s="32" t="n"/>
      <c r="AC9" s="32" t="n"/>
      <c r="AD9" s="32" t="n"/>
      <c r="AE9" s="32" t="n"/>
      <c r="AF9" s="7">
        <f>IF(COUNT(E9:L9)=8,ROUND(SUM(E9:L9),2),"")</f>
        <v/>
      </c>
      <c r="AG9" s="7">
        <f>IF(COUNT(M9:R9)=6,ROUND(SUM(M9:R9),2),"")</f>
        <v/>
      </c>
      <c r="AH9" s="7">
        <f>IF(COUNT(S9:X9)=6,ROUND(SUM(S9:X9),2),"")</f>
        <v/>
      </c>
      <c r="AI9" s="7">
        <f>IF(COUNT(Y9:AE9)=7,ROUND(SUM(Y9:AE9),2),"")</f>
        <v/>
      </c>
      <c r="AJ9" s="33">
        <f>IF(COUNT(AF9:AI9)=4,ROUND(SUM(AF9:AI9),2),"")</f>
        <v/>
      </c>
      <c r="AK9" s="7">
        <f>IF(AF9="","",IF(AF9&gt;=1.5,"Đạt","Chưa đạt"))</f>
        <v/>
      </c>
      <c r="AL9" s="7">
        <f>IF(AG9="","",IF(AG9&gt;=1.0,"Đạt","Chưa đạt"))</f>
        <v/>
      </c>
      <c r="AM9" s="7">
        <f>IF(AH9="","",IF(AH9&gt;=1.0,"Đạt","Chưa đạt"))</f>
        <v/>
      </c>
      <c r="AN9" s="7">
        <f>IF(AI9="","",IF(AI9&gt;=1.5,"Đạt","Chưa đạt"))</f>
        <v/>
      </c>
      <c r="AO9" s="32" t="n"/>
    </row>
    <row r="10">
      <c r="A10" s="7" t="n">
        <v>7</v>
      </c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7">
        <f>IF(COUNT(E10:L10)=8,ROUND(SUM(E10:L10),2),"")</f>
        <v/>
      </c>
      <c r="AG10" s="7">
        <f>IF(COUNT(M10:R10)=6,ROUND(SUM(M10:R10),2),"")</f>
        <v/>
      </c>
      <c r="AH10" s="7">
        <f>IF(COUNT(S10:X10)=6,ROUND(SUM(S10:X10),2),"")</f>
        <v/>
      </c>
      <c r="AI10" s="7">
        <f>IF(COUNT(Y10:AE10)=7,ROUND(SUM(Y10:AE10),2),"")</f>
        <v/>
      </c>
      <c r="AJ10" s="33">
        <f>IF(COUNT(AF10:AI10)=4,ROUND(SUM(AF10:AI10),2),"")</f>
        <v/>
      </c>
      <c r="AK10" s="7">
        <f>IF(AF10="","",IF(AF10&gt;=1.5,"Đạt","Chưa đạt"))</f>
        <v/>
      </c>
      <c r="AL10" s="7">
        <f>IF(AG10="","",IF(AG10&gt;=1.0,"Đạt","Chưa đạt"))</f>
        <v/>
      </c>
      <c r="AM10" s="7">
        <f>IF(AH10="","",IF(AH10&gt;=1.0,"Đạt","Chưa đạt"))</f>
        <v/>
      </c>
      <c r="AN10" s="7">
        <f>IF(AI10="","",IF(AI10&gt;=1.5,"Đạt","Chưa đạt"))</f>
        <v/>
      </c>
      <c r="AO10" s="32" t="n"/>
    </row>
    <row r="11">
      <c r="A11" s="7" t="n">
        <v>8</v>
      </c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  <c r="Z11" s="32" t="n"/>
      <c r="AA11" s="32" t="n"/>
      <c r="AB11" s="32" t="n"/>
      <c r="AC11" s="32" t="n"/>
      <c r="AD11" s="32" t="n"/>
      <c r="AE11" s="32" t="n"/>
      <c r="AF11" s="7">
        <f>IF(COUNT(E11:L11)=8,ROUND(SUM(E11:L11),2),"")</f>
        <v/>
      </c>
      <c r="AG11" s="7">
        <f>IF(COUNT(M11:R11)=6,ROUND(SUM(M11:R11),2),"")</f>
        <v/>
      </c>
      <c r="AH11" s="7">
        <f>IF(COUNT(S11:X11)=6,ROUND(SUM(S11:X11),2),"")</f>
        <v/>
      </c>
      <c r="AI11" s="7">
        <f>IF(COUNT(Y11:AE11)=7,ROUND(SUM(Y11:AE11),2),"")</f>
        <v/>
      </c>
      <c r="AJ11" s="33">
        <f>IF(COUNT(AF11:AI11)=4,ROUND(SUM(AF11:AI11),2),"")</f>
        <v/>
      </c>
      <c r="AK11" s="7">
        <f>IF(AF11="","",IF(AF11&gt;=1.5,"Đạt","Chưa đạt"))</f>
        <v/>
      </c>
      <c r="AL11" s="7">
        <f>IF(AG11="","",IF(AG11&gt;=1.0,"Đạt","Chưa đạt"))</f>
        <v/>
      </c>
      <c r="AM11" s="7">
        <f>IF(AH11="","",IF(AH11&gt;=1.0,"Đạt","Chưa đạt"))</f>
        <v/>
      </c>
      <c r="AN11" s="7">
        <f>IF(AI11="","",IF(AI11&gt;=1.5,"Đạt","Chưa đạt"))</f>
        <v/>
      </c>
      <c r="AO11" s="32" t="n"/>
    </row>
    <row r="12">
      <c r="A12" s="7" t="n">
        <v>9</v>
      </c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7">
        <f>IF(COUNT(E12:L12)=8,ROUND(SUM(E12:L12),2),"")</f>
        <v/>
      </c>
      <c r="AG12" s="7">
        <f>IF(COUNT(M12:R12)=6,ROUND(SUM(M12:R12),2),"")</f>
        <v/>
      </c>
      <c r="AH12" s="7">
        <f>IF(COUNT(S12:X12)=6,ROUND(SUM(S12:X12),2),"")</f>
        <v/>
      </c>
      <c r="AI12" s="7">
        <f>IF(COUNT(Y12:AE12)=7,ROUND(SUM(Y12:AE12),2),"")</f>
        <v/>
      </c>
      <c r="AJ12" s="33">
        <f>IF(COUNT(AF12:AI12)=4,ROUND(SUM(AF12:AI12),2),"")</f>
        <v/>
      </c>
      <c r="AK12" s="7">
        <f>IF(AF12="","",IF(AF12&gt;=1.5,"Đạt","Chưa đạt"))</f>
        <v/>
      </c>
      <c r="AL12" s="7">
        <f>IF(AG12="","",IF(AG12&gt;=1.0,"Đạt","Chưa đạt"))</f>
        <v/>
      </c>
      <c r="AM12" s="7">
        <f>IF(AH12="","",IF(AH12&gt;=1.0,"Đạt","Chưa đạt"))</f>
        <v/>
      </c>
      <c r="AN12" s="7">
        <f>IF(AI12="","",IF(AI12&gt;=1.5,"Đạt","Chưa đạt"))</f>
        <v/>
      </c>
      <c r="AO12" s="32" t="n"/>
    </row>
    <row r="13">
      <c r="A13" s="7" t="n">
        <v>10</v>
      </c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  <c r="Z13" s="32" t="n"/>
      <c r="AA13" s="32" t="n"/>
      <c r="AB13" s="32" t="n"/>
      <c r="AC13" s="32" t="n"/>
      <c r="AD13" s="32" t="n"/>
      <c r="AE13" s="32" t="n"/>
      <c r="AF13" s="7">
        <f>IF(COUNT(E13:L13)=8,ROUND(SUM(E13:L13),2),"")</f>
        <v/>
      </c>
      <c r="AG13" s="7">
        <f>IF(COUNT(M13:R13)=6,ROUND(SUM(M13:R13),2),"")</f>
        <v/>
      </c>
      <c r="AH13" s="7">
        <f>IF(COUNT(S13:X13)=6,ROUND(SUM(S13:X13),2),"")</f>
        <v/>
      </c>
      <c r="AI13" s="7">
        <f>IF(COUNT(Y13:AE13)=7,ROUND(SUM(Y13:AE13),2),"")</f>
        <v/>
      </c>
      <c r="AJ13" s="33">
        <f>IF(COUNT(AF13:AI13)=4,ROUND(SUM(AF13:AI13),2),"")</f>
        <v/>
      </c>
      <c r="AK13" s="7">
        <f>IF(AF13="","",IF(AF13&gt;=1.5,"Đạt","Chưa đạt"))</f>
        <v/>
      </c>
      <c r="AL13" s="7">
        <f>IF(AG13="","",IF(AG13&gt;=1.0,"Đạt","Chưa đạt"))</f>
        <v/>
      </c>
      <c r="AM13" s="7">
        <f>IF(AH13="","",IF(AH13&gt;=1.0,"Đạt","Chưa đạt"))</f>
        <v/>
      </c>
      <c r="AN13" s="7">
        <f>IF(AI13="","",IF(AI13&gt;=1.5,"Đạt","Chưa đạt"))</f>
        <v/>
      </c>
      <c r="AO13" s="32" t="n"/>
    </row>
    <row r="14">
      <c r="A14" s="7" t="n">
        <v>11</v>
      </c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7">
        <f>IF(COUNT(E14:L14)=8,ROUND(SUM(E14:L14),2),"")</f>
        <v/>
      </c>
      <c r="AG14" s="7">
        <f>IF(COUNT(M14:R14)=6,ROUND(SUM(M14:R14),2),"")</f>
        <v/>
      </c>
      <c r="AH14" s="7">
        <f>IF(COUNT(S14:X14)=6,ROUND(SUM(S14:X14),2),"")</f>
        <v/>
      </c>
      <c r="AI14" s="7">
        <f>IF(COUNT(Y14:AE14)=7,ROUND(SUM(Y14:AE14),2),"")</f>
        <v/>
      </c>
      <c r="AJ14" s="33">
        <f>IF(COUNT(AF14:AI14)=4,ROUND(SUM(AF14:AI14),2),"")</f>
        <v/>
      </c>
      <c r="AK14" s="7">
        <f>IF(AF14="","",IF(AF14&gt;=1.5,"Đạt","Chưa đạt"))</f>
        <v/>
      </c>
      <c r="AL14" s="7">
        <f>IF(AG14="","",IF(AG14&gt;=1.0,"Đạt","Chưa đạt"))</f>
        <v/>
      </c>
      <c r="AM14" s="7">
        <f>IF(AH14="","",IF(AH14&gt;=1.0,"Đạt","Chưa đạt"))</f>
        <v/>
      </c>
      <c r="AN14" s="7">
        <f>IF(AI14="","",IF(AI14&gt;=1.5,"Đạt","Chưa đạt"))</f>
        <v/>
      </c>
      <c r="AO14" s="32" t="n"/>
    </row>
    <row r="15">
      <c r="A15" s="7" t="n">
        <v>12</v>
      </c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  <c r="Z15" s="32" t="n"/>
      <c r="AA15" s="32" t="n"/>
      <c r="AB15" s="32" t="n"/>
      <c r="AC15" s="32" t="n"/>
      <c r="AD15" s="32" t="n"/>
      <c r="AE15" s="32" t="n"/>
      <c r="AF15" s="7">
        <f>IF(COUNT(E15:L15)=8,ROUND(SUM(E15:L15),2),"")</f>
        <v/>
      </c>
      <c r="AG15" s="7">
        <f>IF(COUNT(M15:R15)=6,ROUND(SUM(M15:R15),2),"")</f>
        <v/>
      </c>
      <c r="AH15" s="7">
        <f>IF(COUNT(S15:X15)=6,ROUND(SUM(S15:X15),2),"")</f>
        <v/>
      </c>
      <c r="AI15" s="7">
        <f>IF(COUNT(Y15:AE15)=7,ROUND(SUM(Y15:AE15),2),"")</f>
        <v/>
      </c>
      <c r="AJ15" s="33">
        <f>IF(COUNT(AF15:AI15)=4,ROUND(SUM(AF15:AI15),2),"")</f>
        <v/>
      </c>
      <c r="AK15" s="7">
        <f>IF(AF15="","",IF(AF15&gt;=1.5,"Đạt","Chưa đạt"))</f>
        <v/>
      </c>
      <c r="AL15" s="7">
        <f>IF(AG15="","",IF(AG15&gt;=1.0,"Đạt","Chưa đạt"))</f>
        <v/>
      </c>
      <c r="AM15" s="7">
        <f>IF(AH15="","",IF(AH15&gt;=1.0,"Đạt","Chưa đạt"))</f>
        <v/>
      </c>
      <c r="AN15" s="7">
        <f>IF(AI15="","",IF(AI15&gt;=1.5,"Đạt","Chưa đạt"))</f>
        <v/>
      </c>
      <c r="AO15" s="32" t="n"/>
    </row>
    <row r="16">
      <c r="A16" s="7" t="n">
        <v>13</v>
      </c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7">
        <f>IF(COUNT(E16:L16)=8,ROUND(SUM(E16:L16),2),"")</f>
        <v/>
      </c>
      <c r="AG16" s="7">
        <f>IF(COUNT(M16:R16)=6,ROUND(SUM(M16:R16),2),"")</f>
        <v/>
      </c>
      <c r="AH16" s="7">
        <f>IF(COUNT(S16:X16)=6,ROUND(SUM(S16:X16),2),"")</f>
        <v/>
      </c>
      <c r="AI16" s="7">
        <f>IF(COUNT(Y16:AE16)=7,ROUND(SUM(Y16:AE16),2),"")</f>
        <v/>
      </c>
      <c r="AJ16" s="33">
        <f>IF(COUNT(AF16:AI16)=4,ROUND(SUM(AF16:AI16),2),"")</f>
        <v/>
      </c>
      <c r="AK16" s="7">
        <f>IF(AF16="","",IF(AF16&gt;=1.5,"Đạt","Chưa đạt"))</f>
        <v/>
      </c>
      <c r="AL16" s="7">
        <f>IF(AG16="","",IF(AG16&gt;=1.0,"Đạt","Chưa đạt"))</f>
        <v/>
      </c>
      <c r="AM16" s="7">
        <f>IF(AH16="","",IF(AH16&gt;=1.0,"Đạt","Chưa đạt"))</f>
        <v/>
      </c>
      <c r="AN16" s="7">
        <f>IF(AI16="","",IF(AI16&gt;=1.5,"Đạt","Chưa đạt"))</f>
        <v/>
      </c>
      <c r="AO16" s="32" t="n"/>
    </row>
    <row r="17">
      <c r="A17" s="7" t="n">
        <v>14</v>
      </c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  <c r="Z17" s="32" t="n"/>
      <c r="AA17" s="32" t="n"/>
      <c r="AB17" s="32" t="n"/>
      <c r="AC17" s="32" t="n"/>
      <c r="AD17" s="32" t="n"/>
      <c r="AE17" s="32" t="n"/>
      <c r="AF17" s="7">
        <f>IF(COUNT(E17:L17)=8,ROUND(SUM(E17:L17),2),"")</f>
        <v/>
      </c>
      <c r="AG17" s="7">
        <f>IF(COUNT(M17:R17)=6,ROUND(SUM(M17:R17),2),"")</f>
        <v/>
      </c>
      <c r="AH17" s="7">
        <f>IF(COUNT(S17:X17)=6,ROUND(SUM(S17:X17),2),"")</f>
        <v/>
      </c>
      <c r="AI17" s="7">
        <f>IF(COUNT(Y17:AE17)=7,ROUND(SUM(Y17:AE17),2),"")</f>
        <v/>
      </c>
      <c r="AJ17" s="33">
        <f>IF(COUNT(AF17:AI17)=4,ROUND(SUM(AF17:AI17),2),"")</f>
        <v/>
      </c>
      <c r="AK17" s="7">
        <f>IF(AF17="","",IF(AF17&gt;=1.5,"Đạt","Chưa đạt"))</f>
        <v/>
      </c>
      <c r="AL17" s="7">
        <f>IF(AG17="","",IF(AG17&gt;=1.0,"Đạt","Chưa đạt"))</f>
        <v/>
      </c>
      <c r="AM17" s="7">
        <f>IF(AH17="","",IF(AH17&gt;=1.0,"Đạt","Chưa đạt"))</f>
        <v/>
      </c>
      <c r="AN17" s="7">
        <f>IF(AI17="","",IF(AI17&gt;=1.5,"Đạt","Chưa đạt"))</f>
        <v/>
      </c>
      <c r="AO17" s="32" t="n"/>
    </row>
    <row r="18">
      <c r="A18" s="7" t="n">
        <v>15</v>
      </c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7">
        <f>IF(COUNT(E18:L18)=8,ROUND(SUM(E18:L18),2),"")</f>
        <v/>
      </c>
      <c r="AG18" s="7">
        <f>IF(COUNT(M18:R18)=6,ROUND(SUM(M18:R18),2),"")</f>
        <v/>
      </c>
      <c r="AH18" s="7">
        <f>IF(COUNT(S18:X18)=6,ROUND(SUM(S18:X18),2),"")</f>
        <v/>
      </c>
      <c r="AI18" s="7">
        <f>IF(COUNT(Y18:AE18)=7,ROUND(SUM(Y18:AE18),2),"")</f>
        <v/>
      </c>
      <c r="AJ18" s="33">
        <f>IF(COUNT(AF18:AI18)=4,ROUND(SUM(AF18:AI18),2),"")</f>
        <v/>
      </c>
      <c r="AK18" s="7">
        <f>IF(AF18="","",IF(AF18&gt;=1.5,"Đạt","Chưa đạt"))</f>
        <v/>
      </c>
      <c r="AL18" s="7">
        <f>IF(AG18="","",IF(AG18&gt;=1.0,"Đạt","Chưa đạt"))</f>
        <v/>
      </c>
      <c r="AM18" s="7">
        <f>IF(AH18="","",IF(AH18&gt;=1.0,"Đạt","Chưa đạt"))</f>
        <v/>
      </c>
      <c r="AN18" s="7">
        <f>IF(AI18="","",IF(AI18&gt;=1.5,"Đạt","Chưa đạt"))</f>
        <v/>
      </c>
      <c r="AO18" s="32" t="n"/>
    </row>
    <row r="19">
      <c r="A19" s="7" t="n">
        <v>16</v>
      </c>
      <c r="B19" s="32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  <c r="Z19" s="32" t="n"/>
      <c r="AA19" s="32" t="n"/>
      <c r="AB19" s="32" t="n"/>
      <c r="AC19" s="32" t="n"/>
      <c r="AD19" s="32" t="n"/>
      <c r="AE19" s="32" t="n"/>
      <c r="AF19" s="7">
        <f>IF(COUNT(E19:L19)=8,ROUND(SUM(E19:L19),2),"")</f>
        <v/>
      </c>
      <c r="AG19" s="7">
        <f>IF(COUNT(M19:R19)=6,ROUND(SUM(M19:R19),2),"")</f>
        <v/>
      </c>
      <c r="AH19" s="7">
        <f>IF(COUNT(S19:X19)=6,ROUND(SUM(S19:X19),2),"")</f>
        <v/>
      </c>
      <c r="AI19" s="7">
        <f>IF(COUNT(Y19:AE19)=7,ROUND(SUM(Y19:AE19),2),"")</f>
        <v/>
      </c>
      <c r="AJ19" s="33">
        <f>IF(COUNT(AF19:AI19)=4,ROUND(SUM(AF19:AI19),2),"")</f>
        <v/>
      </c>
      <c r="AK19" s="7">
        <f>IF(AF19="","",IF(AF19&gt;=1.5,"Đạt","Chưa đạt"))</f>
        <v/>
      </c>
      <c r="AL19" s="7">
        <f>IF(AG19="","",IF(AG19&gt;=1.0,"Đạt","Chưa đạt"))</f>
        <v/>
      </c>
      <c r="AM19" s="7">
        <f>IF(AH19="","",IF(AH19&gt;=1.0,"Đạt","Chưa đạt"))</f>
        <v/>
      </c>
      <c r="AN19" s="7">
        <f>IF(AI19="","",IF(AI19&gt;=1.5,"Đạt","Chưa đạt"))</f>
        <v/>
      </c>
      <c r="AO19" s="32" t="n"/>
    </row>
    <row r="20">
      <c r="A20" s="7" t="n">
        <v>17</v>
      </c>
      <c r="B20" s="32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7">
        <f>IF(COUNT(E20:L20)=8,ROUND(SUM(E20:L20),2),"")</f>
        <v/>
      </c>
      <c r="AG20" s="7">
        <f>IF(COUNT(M20:R20)=6,ROUND(SUM(M20:R20),2),"")</f>
        <v/>
      </c>
      <c r="AH20" s="7">
        <f>IF(COUNT(S20:X20)=6,ROUND(SUM(S20:X20),2),"")</f>
        <v/>
      </c>
      <c r="AI20" s="7">
        <f>IF(COUNT(Y20:AE20)=7,ROUND(SUM(Y20:AE20),2),"")</f>
        <v/>
      </c>
      <c r="AJ20" s="33">
        <f>IF(COUNT(AF20:AI20)=4,ROUND(SUM(AF20:AI20),2),"")</f>
        <v/>
      </c>
      <c r="AK20" s="7">
        <f>IF(AF20="","",IF(AF20&gt;=1.5,"Đạt","Chưa đạt"))</f>
        <v/>
      </c>
      <c r="AL20" s="7">
        <f>IF(AG20="","",IF(AG20&gt;=1.0,"Đạt","Chưa đạt"))</f>
        <v/>
      </c>
      <c r="AM20" s="7">
        <f>IF(AH20="","",IF(AH20&gt;=1.0,"Đạt","Chưa đạt"))</f>
        <v/>
      </c>
      <c r="AN20" s="7">
        <f>IF(AI20="","",IF(AI20&gt;=1.5,"Đạt","Chưa đạt"))</f>
        <v/>
      </c>
      <c r="AO20" s="32" t="n"/>
    </row>
    <row r="21">
      <c r="A21" s="7" t="n">
        <v>18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  <c r="Z21" s="32" t="n"/>
      <c r="AA21" s="32" t="n"/>
      <c r="AB21" s="32" t="n"/>
      <c r="AC21" s="32" t="n"/>
      <c r="AD21" s="32" t="n"/>
      <c r="AE21" s="32" t="n"/>
      <c r="AF21" s="7">
        <f>IF(COUNT(E21:L21)=8,ROUND(SUM(E21:L21),2),"")</f>
        <v/>
      </c>
      <c r="AG21" s="7">
        <f>IF(COUNT(M21:R21)=6,ROUND(SUM(M21:R21),2),"")</f>
        <v/>
      </c>
      <c r="AH21" s="7">
        <f>IF(COUNT(S21:X21)=6,ROUND(SUM(S21:X21),2),"")</f>
        <v/>
      </c>
      <c r="AI21" s="7">
        <f>IF(COUNT(Y21:AE21)=7,ROUND(SUM(Y21:AE21),2),"")</f>
        <v/>
      </c>
      <c r="AJ21" s="33">
        <f>IF(COUNT(AF21:AI21)=4,ROUND(SUM(AF21:AI21),2),"")</f>
        <v/>
      </c>
      <c r="AK21" s="7">
        <f>IF(AF21="","",IF(AF21&gt;=1.5,"Đạt","Chưa đạt"))</f>
        <v/>
      </c>
      <c r="AL21" s="7">
        <f>IF(AG21="","",IF(AG21&gt;=1.0,"Đạt","Chưa đạt"))</f>
        <v/>
      </c>
      <c r="AM21" s="7">
        <f>IF(AH21="","",IF(AH21&gt;=1.0,"Đạt","Chưa đạt"))</f>
        <v/>
      </c>
      <c r="AN21" s="7">
        <f>IF(AI21="","",IF(AI21&gt;=1.5,"Đạt","Chưa đạt"))</f>
        <v/>
      </c>
      <c r="AO21" s="32" t="n"/>
    </row>
    <row r="22">
      <c r="A22" s="7" t="n">
        <v>19</v>
      </c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7">
        <f>IF(COUNT(E22:L22)=8,ROUND(SUM(E22:L22),2),"")</f>
        <v/>
      </c>
      <c r="AG22" s="7">
        <f>IF(COUNT(M22:R22)=6,ROUND(SUM(M22:R22),2),"")</f>
        <v/>
      </c>
      <c r="AH22" s="7">
        <f>IF(COUNT(S22:X22)=6,ROUND(SUM(S22:X22),2),"")</f>
        <v/>
      </c>
      <c r="AI22" s="7">
        <f>IF(COUNT(Y22:AE22)=7,ROUND(SUM(Y22:AE22),2),"")</f>
        <v/>
      </c>
      <c r="AJ22" s="33">
        <f>IF(COUNT(AF22:AI22)=4,ROUND(SUM(AF22:AI22),2),"")</f>
        <v/>
      </c>
      <c r="AK22" s="7">
        <f>IF(AF22="","",IF(AF22&gt;=1.5,"Đạt","Chưa đạt"))</f>
        <v/>
      </c>
      <c r="AL22" s="7">
        <f>IF(AG22="","",IF(AG22&gt;=1.0,"Đạt","Chưa đạt"))</f>
        <v/>
      </c>
      <c r="AM22" s="7">
        <f>IF(AH22="","",IF(AH22&gt;=1.0,"Đạt","Chưa đạt"))</f>
        <v/>
      </c>
      <c r="AN22" s="7">
        <f>IF(AI22="","",IF(AI22&gt;=1.5,"Đạt","Chưa đạt"))</f>
        <v/>
      </c>
      <c r="AO22" s="32" t="n"/>
    </row>
    <row r="23">
      <c r="A23" s="7" t="n">
        <v>20</v>
      </c>
      <c r="B23" s="32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  <c r="Z23" s="32" t="n"/>
      <c r="AA23" s="32" t="n"/>
      <c r="AB23" s="32" t="n"/>
      <c r="AC23" s="32" t="n"/>
      <c r="AD23" s="32" t="n"/>
      <c r="AE23" s="32" t="n"/>
      <c r="AF23" s="7">
        <f>IF(COUNT(E23:L23)=8,ROUND(SUM(E23:L23),2),"")</f>
        <v/>
      </c>
      <c r="AG23" s="7">
        <f>IF(COUNT(M23:R23)=6,ROUND(SUM(M23:R23),2),"")</f>
        <v/>
      </c>
      <c r="AH23" s="7">
        <f>IF(COUNT(S23:X23)=6,ROUND(SUM(S23:X23),2),"")</f>
        <v/>
      </c>
      <c r="AI23" s="7">
        <f>IF(COUNT(Y23:AE23)=7,ROUND(SUM(Y23:AE23),2),"")</f>
        <v/>
      </c>
      <c r="AJ23" s="33">
        <f>IF(COUNT(AF23:AI23)=4,ROUND(SUM(AF23:AI23),2),"")</f>
        <v/>
      </c>
      <c r="AK23" s="7">
        <f>IF(AF23="","",IF(AF23&gt;=1.5,"Đạt","Chưa đạt"))</f>
        <v/>
      </c>
      <c r="AL23" s="7">
        <f>IF(AG23="","",IF(AG23&gt;=1.0,"Đạt","Chưa đạt"))</f>
        <v/>
      </c>
      <c r="AM23" s="7">
        <f>IF(AH23="","",IF(AH23&gt;=1.0,"Đạt","Chưa đạt"))</f>
        <v/>
      </c>
      <c r="AN23" s="7">
        <f>IF(AI23="","",IF(AI23&gt;=1.5,"Đạt","Chưa đạt"))</f>
        <v/>
      </c>
      <c r="AO23" s="32" t="n"/>
    </row>
    <row r="24">
      <c r="A24" s="7" t="n">
        <v>21</v>
      </c>
      <c r="B24" s="32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7">
        <f>IF(COUNT(E24:L24)=8,ROUND(SUM(E24:L24),2),"")</f>
        <v/>
      </c>
      <c r="AG24" s="7">
        <f>IF(COUNT(M24:R24)=6,ROUND(SUM(M24:R24),2),"")</f>
        <v/>
      </c>
      <c r="AH24" s="7">
        <f>IF(COUNT(S24:X24)=6,ROUND(SUM(S24:X24),2),"")</f>
        <v/>
      </c>
      <c r="AI24" s="7">
        <f>IF(COUNT(Y24:AE24)=7,ROUND(SUM(Y24:AE24),2),"")</f>
        <v/>
      </c>
      <c r="AJ24" s="33">
        <f>IF(COUNT(AF24:AI24)=4,ROUND(SUM(AF24:AI24),2),"")</f>
        <v/>
      </c>
      <c r="AK24" s="7">
        <f>IF(AF24="","",IF(AF24&gt;=1.5,"Đạt","Chưa đạt"))</f>
        <v/>
      </c>
      <c r="AL24" s="7">
        <f>IF(AG24="","",IF(AG24&gt;=1.0,"Đạt","Chưa đạt"))</f>
        <v/>
      </c>
      <c r="AM24" s="7">
        <f>IF(AH24="","",IF(AH24&gt;=1.0,"Đạt","Chưa đạt"))</f>
        <v/>
      </c>
      <c r="AN24" s="7">
        <f>IF(AI24="","",IF(AI24&gt;=1.5,"Đạt","Chưa đạt"))</f>
        <v/>
      </c>
      <c r="AO24" s="32" t="n"/>
    </row>
    <row r="25">
      <c r="A25" s="7" t="n">
        <v>22</v>
      </c>
      <c r="B25" s="32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  <c r="Z25" s="32" t="n"/>
      <c r="AA25" s="32" t="n"/>
      <c r="AB25" s="32" t="n"/>
      <c r="AC25" s="32" t="n"/>
      <c r="AD25" s="32" t="n"/>
      <c r="AE25" s="32" t="n"/>
      <c r="AF25" s="7">
        <f>IF(COUNT(E25:L25)=8,ROUND(SUM(E25:L25),2),"")</f>
        <v/>
      </c>
      <c r="AG25" s="7">
        <f>IF(COUNT(M25:R25)=6,ROUND(SUM(M25:R25),2),"")</f>
        <v/>
      </c>
      <c r="AH25" s="7">
        <f>IF(COUNT(S25:X25)=6,ROUND(SUM(S25:X25),2),"")</f>
        <v/>
      </c>
      <c r="AI25" s="7">
        <f>IF(COUNT(Y25:AE25)=7,ROUND(SUM(Y25:AE25),2),"")</f>
        <v/>
      </c>
      <c r="AJ25" s="33">
        <f>IF(COUNT(AF25:AI25)=4,ROUND(SUM(AF25:AI25),2),"")</f>
        <v/>
      </c>
      <c r="AK25" s="7">
        <f>IF(AF25="","",IF(AF25&gt;=1.5,"Đạt","Chưa đạt"))</f>
        <v/>
      </c>
      <c r="AL25" s="7">
        <f>IF(AG25="","",IF(AG25&gt;=1.0,"Đạt","Chưa đạt"))</f>
        <v/>
      </c>
      <c r="AM25" s="7">
        <f>IF(AH25="","",IF(AH25&gt;=1.0,"Đạt","Chưa đạt"))</f>
        <v/>
      </c>
      <c r="AN25" s="7">
        <f>IF(AI25="","",IF(AI25&gt;=1.5,"Đạt","Chưa đạt"))</f>
        <v/>
      </c>
      <c r="AO25" s="32" t="n"/>
    </row>
    <row r="26">
      <c r="A26" s="7" t="n">
        <v>23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7">
        <f>IF(COUNT(E26:L26)=8,ROUND(SUM(E26:L26),2),"")</f>
        <v/>
      </c>
      <c r="AG26" s="7">
        <f>IF(COUNT(M26:R26)=6,ROUND(SUM(M26:R26),2),"")</f>
        <v/>
      </c>
      <c r="AH26" s="7">
        <f>IF(COUNT(S26:X26)=6,ROUND(SUM(S26:X26),2),"")</f>
        <v/>
      </c>
      <c r="AI26" s="7">
        <f>IF(COUNT(Y26:AE26)=7,ROUND(SUM(Y26:AE26),2),"")</f>
        <v/>
      </c>
      <c r="AJ26" s="33">
        <f>IF(COUNT(AF26:AI26)=4,ROUND(SUM(AF26:AI26),2),"")</f>
        <v/>
      </c>
      <c r="AK26" s="7">
        <f>IF(AF26="","",IF(AF26&gt;=1.5,"Đạt","Chưa đạt"))</f>
        <v/>
      </c>
      <c r="AL26" s="7">
        <f>IF(AG26="","",IF(AG26&gt;=1.0,"Đạt","Chưa đạt"))</f>
        <v/>
      </c>
      <c r="AM26" s="7">
        <f>IF(AH26="","",IF(AH26&gt;=1.0,"Đạt","Chưa đạt"))</f>
        <v/>
      </c>
      <c r="AN26" s="7">
        <f>IF(AI26="","",IF(AI26&gt;=1.5,"Đạt","Chưa đạt"))</f>
        <v/>
      </c>
      <c r="AO26" s="32" t="n"/>
    </row>
    <row r="27">
      <c r="A27" s="7" t="n">
        <v>24</v>
      </c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  <c r="Z27" s="32" t="n"/>
      <c r="AA27" s="32" t="n"/>
      <c r="AB27" s="32" t="n"/>
      <c r="AC27" s="32" t="n"/>
      <c r="AD27" s="32" t="n"/>
      <c r="AE27" s="32" t="n"/>
      <c r="AF27" s="7">
        <f>IF(COUNT(E27:L27)=8,ROUND(SUM(E27:L27),2),"")</f>
        <v/>
      </c>
      <c r="AG27" s="7">
        <f>IF(COUNT(M27:R27)=6,ROUND(SUM(M27:R27),2),"")</f>
        <v/>
      </c>
      <c r="AH27" s="7">
        <f>IF(COUNT(S27:X27)=6,ROUND(SUM(S27:X27),2),"")</f>
        <v/>
      </c>
      <c r="AI27" s="7">
        <f>IF(COUNT(Y27:AE27)=7,ROUND(SUM(Y27:AE27),2),"")</f>
        <v/>
      </c>
      <c r="AJ27" s="33">
        <f>IF(COUNT(AF27:AI27)=4,ROUND(SUM(AF27:AI27),2),"")</f>
        <v/>
      </c>
      <c r="AK27" s="7">
        <f>IF(AF27="","",IF(AF27&gt;=1.5,"Đạt","Chưa đạt"))</f>
        <v/>
      </c>
      <c r="AL27" s="7">
        <f>IF(AG27="","",IF(AG27&gt;=1.0,"Đạt","Chưa đạt"))</f>
        <v/>
      </c>
      <c r="AM27" s="7">
        <f>IF(AH27="","",IF(AH27&gt;=1.0,"Đạt","Chưa đạt"))</f>
        <v/>
      </c>
      <c r="AN27" s="7">
        <f>IF(AI27="","",IF(AI27&gt;=1.5,"Đạt","Chưa đạt"))</f>
        <v/>
      </c>
      <c r="AO27" s="32" t="n"/>
    </row>
    <row r="28">
      <c r="A28" s="7" t="n">
        <v>25</v>
      </c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7">
        <f>IF(COUNT(E28:L28)=8,ROUND(SUM(E28:L28),2),"")</f>
        <v/>
      </c>
      <c r="AG28" s="7">
        <f>IF(COUNT(M28:R28)=6,ROUND(SUM(M28:R28),2),"")</f>
        <v/>
      </c>
      <c r="AH28" s="7">
        <f>IF(COUNT(S28:X28)=6,ROUND(SUM(S28:X28),2),"")</f>
        <v/>
      </c>
      <c r="AI28" s="7">
        <f>IF(COUNT(Y28:AE28)=7,ROUND(SUM(Y28:AE28),2),"")</f>
        <v/>
      </c>
      <c r="AJ28" s="33">
        <f>IF(COUNT(AF28:AI28)=4,ROUND(SUM(AF28:AI28),2),"")</f>
        <v/>
      </c>
      <c r="AK28" s="7">
        <f>IF(AF28="","",IF(AF28&gt;=1.5,"Đạt","Chưa đạt"))</f>
        <v/>
      </c>
      <c r="AL28" s="7">
        <f>IF(AG28="","",IF(AG28&gt;=1.0,"Đạt","Chưa đạt"))</f>
        <v/>
      </c>
      <c r="AM28" s="7">
        <f>IF(AH28="","",IF(AH28&gt;=1.0,"Đạt","Chưa đạt"))</f>
        <v/>
      </c>
      <c r="AN28" s="7">
        <f>IF(AI28="","",IF(AI28&gt;=1.5,"Đạt","Chưa đạt"))</f>
        <v/>
      </c>
      <c r="AO28" s="32" t="n"/>
    </row>
    <row r="29">
      <c r="A29" s="7" t="n">
        <v>26</v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  <c r="Z29" s="32" t="n"/>
      <c r="AA29" s="32" t="n"/>
      <c r="AB29" s="32" t="n"/>
      <c r="AC29" s="32" t="n"/>
      <c r="AD29" s="32" t="n"/>
      <c r="AE29" s="32" t="n"/>
      <c r="AF29" s="7">
        <f>IF(COUNT(E29:L29)=8,ROUND(SUM(E29:L29),2),"")</f>
        <v/>
      </c>
      <c r="AG29" s="7">
        <f>IF(COUNT(M29:R29)=6,ROUND(SUM(M29:R29),2),"")</f>
        <v/>
      </c>
      <c r="AH29" s="7">
        <f>IF(COUNT(S29:X29)=6,ROUND(SUM(S29:X29),2),"")</f>
        <v/>
      </c>
      <c r="AI29" s="7">
        <f>IF(COUNT(Y29:AE29)=7,ROUND(SUM(Y29:AE29),2),"")</f>
        <v/>
      </c>
      <c r="AJ29" s="33">
        <f>IF(COUNT(AF29:AI29)=4,ROUND(SUM(AF29:AI29),2),"")</f>
        <v/>
      </c>
      <c r="AK29" s="7">
        <f>IF(AF29="","",IF(AF29&gt;=1.5,"Đạt","Chưa đạt"))</f>
        <v/>
      </c>
      <c r="AL29" s="7">
        <f>IF(AG29="","",IF(AG29&gt;=1.0,"Đạt","Chưa đạt"))</f>
        <v/>
      </c>
      <c r="AM29" s="7">
        <f>IF(AH29="","",IF(AH29&gt;=1.0,"Đạt","Chưa đạt"))</f>
        <v/>
      </c>
      <c r="AN29" s="7">
        <f>IF(AI29="","",IF(AI29&gt;=1.5,"Đạt","Chưa đạt"))</f>
        <v/>
      </c>
      <c r="AO29" s="32" t="n"/>
    </row>
    <row r="30">
      <c r="A30" s="7" t="n">
        <v>27</v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7">
        <f>IF(COUNT(E30:L30)=8,ROUND(SUM(E30:L30),2),"")</f>
        <v/>
      </c>
      <c r="AG30" s="7">
        <f>IF(COUNT(M30:R30)=6,ROUND(SUM(M30:R30),2),"")</f>
        <v/>
      </c>
      <c r="AH30" s="7">
        <f>IF(COUNT(S30:X30)=6,ROUND(SUM(S30:X30),2),"")</f>
        <v/>
      </c>
      <c r="AI30" s="7">
        <f>IF(COUNT(Y30:AE30)=7,ROUND(SUM(Y30:AE30),2),"")</f>
        <v/>
      </c>
      <c r="AJ30" s="33">
        <f>IF(COUNT(AF30:AI30)=4,ROUND(SUM(AF30:AI30),2),"")</f>
        <v/>
      </c>
      <c r="AK30" s="7">
        <f>IF(AF30="","",IF(AF30&gt;=1.5,"Đạt","Chưa đạt"))</f>
        <v/>
      </c>
      <c r="AL30" s="7">
        <f>IF(AG30="","",IF(AG30&gt;=1.0,"Đạt","Chưa đạt"))</f>
        <v/>
      </c>
      <c r="AM30" s="7">
        <f>IF(AH30="","",IF(AH30&gt;=1.0,"Đạt","Chưa đạt"))</f>
        <v/>
      </c>
      <c r="AN30" s="7">
        <f>IF(AI30="","",IF(AI30&gt;=1.5,"Đạt","Chưa đạt"))</f>
        <v/>
      </c>
      <c r="AO30" s="32" t="n"/>
    </row>
    <row r="31">
      <c r="A31" s="7" t="n">
        <v>28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  <c r="Z31" s="32" t="n"/>
      <c r="AA31" s="32" t="n"/>
      <c r="AB31" s="32" t="n"/>
      <c r="AC31" s="32" t="n"/>
      <c r="AD31" s="32" t="n"/>
      <c r="AE31" s="32" t="n"/>
      <c r="AF31" s="7">
        <f>IF(COUNT(E31:L31)=8,ROUND(SUM(E31:L31),2),"")</f>
        <v/>
      </c>
      <c r="AG31" s="7">
        <f>IF(COUNT(M31:R31)=6,ROUND(SUM(M31:R31),2),"")</f>
        <v/>
      </c>
      <c r="AH31" s="7">
        <f>IF(COUNT(S31:X31)=6,ROUND(SUM(S31:X31),2),"")</f>
        <v/>
      </c>
      <c r="AI31" s="7">
        <f>IF(COUNT(Y31:AE31)=7,ROUND(SUM(Y31:AE31),2),"")</f>
        <v/>
      </c>
      <c r="AJ31" s="33">
        <f>IF(COUNT(AF31:AI31)=4,ROUND(SUM(AF31:AI31),2),"")</f>
        <v/>
      </c>
      <c r="AK31" s="7">
        <f>IF(AF31="","",IF(AF31&gt;=1.5,"Đạt","Chưa đạt"))</f>
        <v/>
      </c>
      <c r="AL31" s="7">
        <f>IF(AG31="","",IF(AG31&gt;=1.0,"Đạt","Chưa đạt"))</f>
        <v/>
      </c>
      <c r="AM31" s="7">
        <f>IF(AH31="","",IF(AH31&gt;=1.0,"Đạt","Chưa đạt"))</f>
        <v/>
      </c>
      <c r="AN31" s="7">
        <f>IF(AI31="","",IF(AI31&gt;=1.5,"Đạt","Chưa đạt"))</f>
        <v/>
      </c>
      <c r="AO31" s="32" t="n"/>
    </row>
    <row r="32">
      <c r="A32" s="7" t="n">
        <v>29</v>
      </c>
      <c r="B32" s="32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7">
        <f>IF(COUNT(E32:L32)=8,ROUND(SUM(E32:L32),2),"")</f>
        <v/>
      </c>
      <c r="AG32" s="7">
        <f>IF(COUNT(M32:R32)=6,ROUND(SUM(M32:R32),2),"")</f>
        <v/>
      </c>
      <c r="AH32" s="7">
        <f>IF(COUNT(S32:X32)=6,ROUND(SUM(S32:X32),2),"")</f>
        <v/>
      </c>
      <c r="AI32" s="7">
        <f>IF(COUNT(Y32:AE32)=7,ROUND(SUM(Y32:AE32),2),"")</f>
        <v/>
      </c>
      <c r="AJ32" s="33">
        <f>IF(COUNT(AF32:AI32)=4,ROUND(SUM(AF32:AI32),2),"")</f>
        <v/>
      </c>
      <c r="AK32" s="7">
        <f>IF(AF32="","",IF(AF32&gt;=1.5,"Đạt","Chưa đạt"))</f>
        <v/>
      </c>
      <c r="AL32" s="7">
        <f>IF(AG32="","",IF(AG32&gt;=1.0,"Đạt","Chưa đạt"))</f>
        <v/>
      </c>
      <c r="AM32" s="7">
        <f>IF(AH32="","",IF(AH32&gt;=1.0,"Đạt","Chưa đạt"))</f>
        <v/>
      </c>
      <c r="AN32" s="7">
        <f>IF(AI32="","",IF(AI32&gt;=1.5,"Đạt","Chưa đạt"))</f>
        <v/>
      </c>
      <c r="AO32" s="32" t="n"/>
    </row>
    <row r="33">
      <c r="A33" s="7" t="n">
        <v>30</v>
      </c>
      <c r="B33" s="32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  <c r="Z33" s="32" t="n"/>
      <c r="AA33" s="32" t="n"/>
      <c r="AB33" s="32" t="n"/>
      <c r="AC33" s="32" t="n"/>
      <c r="AD33" s="32" t="n"/>
      <c r="AE33" s="32" t="n"/>
      <c r="AF33" s="7">
        <f>IF(COUNT(E33:L33)=8,ROUND(SUM(E33:L33),2),"")</f>
        <v/>
      </c>
      <c r="AG33" s="7">
        <f>IF(COUNT(M33:R33)=6,ROUND(SUM(M33:R33),2),"")</f>
        <v/>
      </c>
      <c r="AH33" s="7">
        <f>IF(COUNT(S33:X33)=6,ROUND(SUM(S33:X33),2),"")</f>
        <v/>
      </c>
      <c r="AI33" s="7">
        <f>IF(COUNT(Y33:AE33)=7,ROUND(SUM(Y33:AE33),2),"")</f>
        <v/>
      </c>
      <c r="AJ33" s="33">
        <f>IF(COUNT(AF33:AI33)=4,ROUND(SUM(AF33:AI33),2),"")</f>
        <v/>
      </c>
      <c r="AK33" s="7">
        <f>IF(AF33="","",IF(AF33&gt;=1.5,"Đạt","Chưa đạt"))</f>
        <v/>
      </c>
      <c r="AL33" s="7">
        <f>IF(AG33="","",IF(AG33&gt;=1.0,"Đạt","Chưa đạt"))</f>
        <v/>
      </c>
      <c r="AM33" s="7">
        <f>IF(AH33="","",IF(AH33&gt;=1.0,"Đạt","Chưa đạt"))</f>
        <v/>
      </c>
      <c r="AN33" s="7">
        <f>IF(AI33="","",IF(AI33&gt;=1.5,"Đạt","Chưa đạt"))</f>
        <v/>
      </c>
      <c r="AO33" s="32" t="n"/>
    </row>
    <row r="34">
      <c r="A34" s="7" t="n">
        <v>31</v>
      </c>
      <c r="B34" s="32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7">
        <f>IF(COUNT(E34:L34)=8,ROUND(SUM(E34:L34),2),"")</f>
        <v/>
      </c>
      <c r="AG34" s="7">
        <f>IF(COUNT(M34:R34)=6,ROUND(SUM(M34:R34),2),"")</f>
        <v/>
      </c>
      <c r="AH34" s="7">
        <f>IF(COUNT(S34:X34)=6,ROUND(SUM(S34:X34),2),"")</f>
        <v/>
      </c>
      <c r="AI34" s="7">
        <f>IF(COUNT(Y34:AE34)=7,ROUND(SUM(Y34:AE34),2),"")</f>
        <v/>
      </c>
      <c r="AJ34" s="33">
        <f>IF(COUNT(AF34:AI34)=4,ROUND(SUM(AF34:AI34),2),"")</f>
        <v/>
      </c>
      <c r="AK34" s="7">
        <f>IF(AF34="","",IF(AF34&gt;=1.5,"Đạt","Chưa đạt"))</f>
        <v/>
      </c>
      <c r="AL34" s="7">
        <f>IF(AG34="","",IF(AG34&gt;=1.0,"Đạt","Chưa đạt"))</f>
        <v/>
      </c>
      <c r="AM34" s="7">
        <f>IF(AH34="","",IF(AH34&gt;=1.0,"Đạt","Chưa đạt"))</f>
        <v/>
      </c>
      <c r="AN34" s="7">
        <f>IF(AI34="","",IF(AI34&gt;=1.5,"Đạt","Chưa đạt"))</f>
        <v/>
      </c>
      <c r="AO34" s="32" t="n"/>
    </row>
    <row r="35">
      <c r="A35" s="7" t="n">
        <v>32</v>
      </c>
      <c r="B35" s="32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  <c r="Z35" s="32" t="n"/>
      <c r="AA35" s="32" t="n"/>
      <c r="AB35" s="32" t="n"/>
      <c r="AC35" s="32" t="n"/>
      <c r="AD35" s="32" t="n"/>
      <c r="AE35" s="32" t="n"/>
      <c r="AF35" s="7">
        <f>IF(COUNT(E35:L35)=8,ROUND(SUM(E35:L35),2),"")</f>
        <v/>
      </c>
      <c r="AG35" s="7">
        <f>IF(COUNT(M35:R35)=6,ROUND(SUM(M35:R35),2),"")</f>
        <v/>
      </c>
      <c r="AH35" s="7">
        <f>IF(COUNT(S35:X35)=6,ROUND(SUM(S35:X35),2),"")</f>
        <v/>
      </c>
      <c r="AI35" s="7">
        <f>IF(COUNT(Y35:AE35)=7,ROUND(SUM(Y35:AE35),2),"")</f>
        <v/>
      </c>
      <c r="AJ35" s="33">
        <f>IF(COUNT(AF35:AI35)=4,ROUND(SUM(AF35:AI35),2),"")</f>
        <v/>
      </c>
      <c r="AK35" s="7">
        <f>IF(AF35="","",IF(AF35&gt;=1.5,"Đạt","Chưa đạt"))</f>
        <v/>
      </c>
      <c r="AL35" s="7">
        <f>IF(AG35="","",IF(AG35&gt;=1.0,"Đạt","Chưa đạt"))</f>
        <v/>
      </c>
      <c r="AM35" s="7">
        <f>IF(AH35="","",IF(AH35&gt;=1.0,"Đạt","Chưa đạt"))</f>
        <v/>
      </c>
      <c r="AN35" s="7">
        <f>IF(AI35="","",IF(AI35&gt;=1.5,"Đạt","Chưa đạt"))</f>
        <v/>
      </c>
      <c r="AO35" s="32" t="n"/>
    </row>
    <row r="36">
      <c r="A36" s="7" t="n">
        <v>33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7">
        <f>IF(COUNT(E36:L36)=8,ROUND(SUM(E36:L36),2),"")</f>
        <v/>
      </c>
      <c r="AG36" s="7">
        <f>IF(COUNT(M36:R36)=6,ROUND(SUM(M36:R36),2),"")</f>
        <v/>
      </c>
      <c r="AH36" s="7">
        <f>IF(COUNT(S36:X36)=6,ROUND(SUM(S36:X36),2),"")</f>
        <v/>
      </c>
      <c r="AI36" s="7">
        <f>IF(COUNT(Y36:AE36)=7,ROUND(SUM(Y36:AE36),2),"")</f>
        <v/>
      </c>
      <c r="AJ36" s="33">
        <f>IF(COUNT(AF36:AI36)=4,ROUND(SUM(AF36:AI36),2),"")</f>
        <v/>
      </c>
      <c r="AK36" s="7">
        <f>IF(AF36="","",IF(AF36&gt;=1.5,"Đạt","Chưa đạt"))</f>
        <v/>
      </c>
      <c r="AL36" s="7">
        <f>IF(AG36="","",IF(AG36&gt;=1.0,"Đạt","Chưa đạt"))</f>
        <v/>
      </c>
      <c r="AM36" s="7">
        <f>IF(AH36="","",IF(AH36&gt;=1.0,"Đạt","Chưa đạt"))</f>
        <v/>
      </c>
      <c r="AN36" s="7">
        <f>IF(AI36="","",IF(AI36&gt;=1.5,"Đạt","Chưa đạt"))</f>
        <v/>
      </c>
      <c r="AO36" s="32" t="n"/>
    </row>
    <row r="37">
      <c r="A37" s="7" t="n">
        <v>34</v>
      </c>
      <c r="B37" s="32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  <c r="Z37" s="32" t="n"/>
      <c r="AA37" s="32" t="n"/>
      <c r="AB37" s="32" t="n"/>
      <c r="AC37" s="32" t="n"/>
      <c r="AD37" s="32" t="n"/>
      <c r="AE37" s="32" t="n"/>
      <c r="AF37" s="7">
        <f>IF(COUNT(E37:L37)=8,ROUND(SUM(E37:L37),2),"")</f>
        <v/>
      </c>
      <c r="AG37" s="7">
        <f>IF(COUNT(M37:R37)=6,ROUND(SUM(M37:R37),2),"")</f>
        <v/>
      </c>
      <c r="AH37" s="7">
        <f>IF(COUNT(S37:X37)=6,ROUND(SUM(S37:X37),2),"")</f>
        <v/>
      </c>
      <c r="AI37" s="7">
        <f>IF(COUNT(Y37:AE37)=7,ROUND(SUM(Y37:AE37),2),"")</f>
        <v/>
      </c>
      <c r="AJ37" s="33">
        <f>IF(COUNT(AF37:AI37)=4,ROUND(SUM(AF37:AI37),2),"")</f>
        <v/>
      </c>
      <c r="AK37" s="7">
        <f>IF(AF37="","",IF(AF37&gt;=1.5,"Đạt","Chưa đạt"))</f>
        <v/>
      </c>
      <c r="AL37" s="7">
        <f>IF(AG37="","",IF(AG37&gt;=1.0,"Đạt","Chưa đạt"))</f>
        <v/>
      </c>
      <c r="AM37" s="7">
        <f>IF(AH37="","",IF(AH37&gt;=1.0,"Đạt","Chưa đạt"))</f>
        <v/>
      </c>
      <c r="AN37" s="7">
        <f>IF(AI37="","",IF(AI37&gt;=1.5,"Đạt","Chưa đạt"))</f>
        <v/>
      </c>
      <c r="AO37" s="32" t="n"/>
    </row>
    <row r="38">
      <c r="A38" s="7" t="n">
        <v>35</v>
      </c>
      <c r="B38" s="32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7">
        <f>IF(COUNT(E38:L38)=8,ROUND(SUM(E38:L38),2),"")</f>
        <v/>
      </c>
      <c r="AG38" s="7">
        <f>IF(COUNT(M38:R38)=6,ROUND(SUM(M38:R38),2),"")</f>
        <v/>
      </c>
      <c r="AH38" s="7">
        <f>IF(COUNT(S38:X38)=6,ROUND(SUM(S38:X38),2),"")</f>
        <v/>
      </c>
      <c r="AI38" s="7">
        <f>IF(COUNT(Y38:AE38)=7,ROUND(SUM(Y38:AE38),2),"")</f>
        <v/>
      </c>
      <c r="AJ38" s="33">
        <f>IF(COUNT(AF38:AI38)=4,ROUND(SUM(AF38:AI38),2),"")</f>
        <v/>
      </c>
      <c r="AK38" s="7">
        <f>IF(AF38="","",IF(AF38&gt;=1.5,"Đạt","Chưa đạt"))</f>
        <v/>
      </c>
      <c r="AL38" s="7">
        <f>IF(AG38="","",IF(AG38&gt;=1.0,"Đạt","Chưa đạt"))</f>
        <v/>
      </c>
      <c r="AM38" s="7">
        <f>IF(AH38="","",IF(AH38&gt;=1.0,"Đạt","Chưa đạt"))</f>
        <v/>
      </c>
      <c r="AN38" s="7">
        <f>IF(AI38="","",IF(AI38&gt;=1.5,"Đạt","Chưa đạt"))</f>
        <v/>
      </c>
      <c r="AO38" s="32" t="n"/>
    </row>
    <row r="39">
      <c r="A39" s="7" t="n">
        <v>36</v>
      </c>
      <c r="B39" s="32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  <c r="Z39" s="32" t="n"/>
      <c r="AA39" s="32" t="n"/>
      <c r="AB39" s="32" t="n"/>
      <c r="AC39" s="32" t="n"/>
      <c r="AD39" s="32" t="n"/>
      <c r="AE39" s="32" t="n"/>
      <c r="AF39" s="7">
        <f>IF(COUNT(E39:L39)=8,ROUND(SUM(E39:L39),2),"")</f>
        <v/>
      </c>
      <c r="AG39" s="7">
        <f>IF(COUNT(M39:R39)=6,ROUND(SUM(M39:R39),2),"")</f>
        <v/>
      </c>
      <c r="AH39" s="7">
        <f>IF(COUNT(S39:X39)=6,ROUND(SUM(S39:X39),2),"")</f>
        <v/>
      </c>
      <c r="AI39" s="7">
        <f>IF(COUNT(Y39:AE39)=7,ROUND(SUM(Y39:AE39),2),"")</f>
        <v/>
      </c>
      <c r="AJ39" s="33">
        <f>IF(COUNT(AF39:AI39)=4,ROUND(SUM(AF39:AI39),2),"")</f>
        <v/>
      </c>
      <c r="AK39" s="7">
        <f>IF(AF39="","",IF(AF39&gt;=1.5,"Đạt","Chưa đạt"))</f>
        <v/>
      </c>
      <c r="AL39" s="7">
        <f>IF(AG39="","",IF(AG39&gt;=1.0,"Đạt","Chưa đạt"))</f>
        <v/>
      </c>
      <c r="AM39" s="7">
        <f>IF(AH39="","",IF(AH39&gt;=1.0,"Đạt","Chưa đạt"))</f>
        <v/>
      </c>
      <c r="AN39" s="7">
        <f>IF(AI39="","",IF(AI39&gt;=1.5,"Đạt","Chưa đạt"))</f>
        <v/>
      </c>
      <c r="AO39" s="32" t="n"/>
    </row>
    <row r="40">
      <c r="A40" s="7" t="n">
        <v>37</v>
      </c>
      <c r="B40" s="32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7">
        <f>IF(COUNT(E40:L40)=8,ROUND(SUM(E40:L40),2),"")</f>
        <v/>
      </c>
      <c r="AG40" s="7">
        <f>IF(COUNT(M40:R40)=6,ROUND(SUM(M40:R40),2),"")</f>
        <v/>
      </c>
      <c r="AH40" s="7">
        <f>IF(COUNT(S40:X40)=6,ROUND(SUM(S40:X40),2),"")</f>
        <v/>
      </c>
      <c r="AI40" s="7">
        <f>IF(COUNT(Y40:AE40)=7,ROUND(SUM(Y40:AE40),2),"")</f>
        <v/>
      </c>
      <c r="AJ40" s="33">
        <f>IF(COUNT(AF40:AI40)=4,ROUND(SUM(AF40:AI40),2),"")</f>
        <v/>
      </c>
      <c r="AK40" s="7">
        <f>IF(AF40="","",IF(AF40&gt;=1.5,"Đạt","Chưa đạt"))</f>
        <v/>
      </c>
      <c r="AL40" s="7">
        <f>IF(AG40="","",IF(AG40&gt;=1.0,"Đạt","Chưa đạt"))</f>
        <v/>
      </c>
      <c r="AM40" s="7">
        <f>IF(AH40="","",IF(AH40&gt;=1.0,"Đạt","Chưa đạt"))</f>
        <v/>
      </c>
      <c r="AN40" s="7">
        <f>IF(AI40="","",IF(AI40&gt;=1.5,"Đạt","Chưa đạt"))</f>
        <v/>
      </c>
      <c r="AO40" s="32" t="n"/>
    </row>
    <row r="41">
      <c r="A41" s="7" t="n">
        <v>38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  <c r="Z41" s="32" t="n"/>
      <c r="AA41" s="32" t="n"/>
      <c r="AB41" s="32" t="n"/>
      <c r="AC41" s="32" t="n"/>
      <c r="AD41" s="32" t="n"/>
      <c r="AE41" s="32" t="n"/>
      <c r="AF41" s="7">
        <f>IF(COUNT(E41:L41)=8,ROUND(SUM(E41:L41),2),"")</f>
        <v/>
      </c>
      <c r="AG41" s="7">
        <f>IF(COUNT(M41:R41)=6,ROUND(SUM(M41:R41),2),"")</f>
        <v/>
      </c>
      <c r="AH41" s="7">
        <f>IF(COUNT(S41:X41)=6,ROUND(SUM(S41:X41),2),"")</f>
        <v/>
      </c>
      <c r="AI41" s="7">
        <f>IF(COUNT(Y41:AE41)=7,ROUND(SUM(Y41:AE41),2),"")</f>
        <v/>
      </c>
      <c r="AJ41" s="33">
        <f>IF(COUNT(AF41:AI41)=4,ROUND(SUM(AF41:AI41),2),"")</f>
        <v/>
      </c>
      <c r="AK41" s="7">
        <f>IF(AF41="","",IF(AF41&gt;=1.5,"Đạt","Chưa đạt"))</f>
        <v/>
      </c>
      <c r="AL41" s="7">
        <f>IF(AG41="","",IF(AG41&gt;=1.0,"Đạt","Chưa đạt"))</f>
        <v/>
      </c>
      <c r="AM41" s="7">
        <f>IF(AH41="","",IF(AH41&gt;=1.0,"Đạt","Chưa đạt"))</f>
        <v/>
      </c>
      <c r="AN41" s="7">
        <f>IF(AI41="","",IF(AI41&gt;=1.5,"Đạt","Chưa đạt"))</f>
        <v/>
      </c>
      <c r="AO41" s="32" t="n"/>
    </row>
    <row r="42">
      <c r="A42" s="7" t="n">
        <v>39</v>
      </c>
      <c r="B42" s="32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7">
        <f>IF(COUNT(E42:L42)=8,ROUND(SUM(E42:L42),2),"")</f>
        <v/>
      </c>
      <c r="AG42" s="7">
        <f>IF(COUNT(M42:R42)=6,ROUND(SUM(M42:R42),2),"")</f>
        <v/>
      </c>
      <c r="AH42" s="7">
        <f>IF(COUNT(S42:X42)=6,ROUND(SUM(S42:X42),2),"")</f>
        <v/>
      </c>
      <c r="AI42" s="7">
        <f>IF(COUNT(Y42:AE42)=7,ROUND(SUM(Y42:AE42),2),"")</f>
        <v/>
      </c>
      <c r="AJ42" s="33">
        <f>IF(COUNT(AF42:AI42)=4,ROUND(SUM(AF42:AI42),2),"")</f>
        <v/>
      </c>
      <c r="AK42" s="7">
        <f>IF(AF42="","",IF(AF42&gt;=1.5,"Đạt","Chưa đạt"))</f>
        <v/>
      </c>
      <c r="AL42" s="7">
        <f>IF(AG42="","",IF(AG42&gt;=1.0,"Đạt","Chưa đạt"))</f>
        <v/>
      </c>
      <c r="AM42" s="7">
        <f>IF(AH42="","",IF(AH42&gt;=1.0,"Đạt","Chưa đạt"))</f>
        <v/>
      </c>
      <c r="AN42" s="7">
        <f>IF(AI42="","",IF(AI42&gt;=1.5,"Đạt","Chưa đạt"))</f>
        <v/>
      </c>
      <c r="AO42" s="32" t="n"/>
    </row>
    <row r="43">
      <c r="A43" s="7" t="n">
        <v>40</v>
      </c>
      <c r="B43" s="32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  <c r="Z43" s="32" t="n"/>
      <c r="AA43" s="32" t="n"/>
      <c r="AB43" s="32" t="n"/>
      <c r="AC43" s="32" t="n"/>
      <c r="AD43" s="32" t="n"/>
      <c r="AE43" s="32" t="n"/>
      <c r="AF43" s="7">
        <f>IF(COUNT(E43:L43)=8,ROUND(SUM(E43:L43),2),"")</f>
        <v/>
      </c>
      <c r="AG43" s="7">
        <f>IF(COUNT(M43:R43)=6,ROUND(SUM(M43:R43),2),"")</f>
        <v/>
      </c>
      <c r="AH43" s="7">
        <f>IF(COUNT(S43:X43)=6,ROUND(SUM(S43:X43),2),"")</f>
        <v/>
      </c>
      <c r="AI43" s="7">
        <f>IF(COUNT(Y43:AE43)=7,ROUND(SUM(Y43:AE43),2),"")</f>
        <v/>
      </c>
      <c r="AJ43" s="33">
        <f>IF(COUNT(AF43:AI43)=4,ROUND(SUM(AF43:AI43),2),"")</f>
        <v/>
      </c>
      <c r="AK43" s="7">
        <f>IF(AF43="","",IF(AF43&gt;=1.5,"Đạt","Chưa đạt"))</f>
        <v/>
      </c>
      <c r="AL43" s="7">
        <f>IF(AG43="","",IF(AG43&gt;=1.0,"Đạt","Chưa đạt"))</f>
        <v/>
      </c>
      <c r="AM43" s="7">
        <f>IF(AH43="","",IF(AH43&gt;=1.0,"Đạt","Chưa đạt"))</f>
        <v/>
      </c>
      <c r="AN43" s="7">
        <f>IF(AI43="","",IF(AI43&gt;=1.5,"Đạt","Chưa đạt"))</f>
        <v/>
      </c>
      <c r="AO43" s="32" t="n"/>
    </row>
    <row r="44">
      <c r="A44" s="7" t="n">
        <v>41</v>
      </c>
      <c r="B44" s="32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7">
        <f>IF(COUNT(E44:L44)=8,ROUND(SUM(E44:L44),2),"")</f>
        <v/>
      </c>
      <c r="AG44" s="7">
        <f>IF(COUNT(M44:R44)=6,ROUND(SUM(M44:R44),2),"")</f>
        <v/>
      </c>
      <c r="AH44" s="7">
        <f>IF(COUNT(S44:X44)=6,ROUND(SUM(S44:X44),2),"")</f>
        <v/>
      </c>
      <c r="AI44" s="7">
        <f>IF(COUNT(Y44:AE44)=7,ROUND(SUM(Y44:AE44),2),"")</f>
        <v/>
      </c>
      <c r="AJ44" s="33">
        <f>IF(COUNT(AF44:AI44)=4,ROUND(SUM(AF44:AI44),2),"")</f>
        <v/>
      </c>
      <c r="AK44" s="7">
        <f>IF(AF44="","",IF(AF44&gt;=1.5,"Đạt","Chưa đạt"))</f>
        <v/>
      </c>
      <c r="AL44" s="7">
        <f>IF(AG44="","",IF(AG44&gt;=1.0,"Đạt","Chưa đạt"))</f>
        <v/>
      </c>
      <c r="AM44" s="7">
        <f>IF(AH44="","",IF(AH44&gt;=1.0,"Đạt","Chưa đạt"))</f>
        <v/>
      </c>
      <c r="AN44" s="7">
        <f>IF(AI44="","",IF(AI44&gt;=1.5,"Đạt","Chưa đạt"))</f>
        <v/>
      </c>
      <c r="AO44" s="32" t="n"/>
    </row>
    <row r="45">
      <c r="A45" s="7" t="n">
        <v>42</v>
      </c>
      <c r="B45" s="32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  <c r="Z45" s="32" t="n"/>
      <c r="AA45" s="32" t="n"/>
      <c r="AB45" s="32" t="n"/>
      <c r="AC45" s="32" t="n"/>
      <c r="AD45" s="32" t="n"/>
      <c r="AE45" s="32" t="n"/>
      <c r="AF45" s="7">
        <f>IF(COUNT(E45:L45)=8,ROUND(SUM(E45:L45),2),"")</f>
        <v/>
      </c>
      <c r="AG45" s="7">
        <f>IF(COUNT(M45:R45)=6,ROUND(SUM(M45:R45),2),"")</f>
        <v/>
      </c>
      <c r="AH45" s="7">
        <f>IF(COUNT(S45:X45)=6,ROUND(SUM(S45:X45),2),"")</f>
        <v/>
      </c>
      <c r="AI45" s="7">
        <f>IF(COUNT(Y45:AE45)=7,ROUND(SUM(Y45:AE45),2),"")</f>
        <v/>
      </c>
      <c r="AJ45" s="33">
        <f>IF(COUNT(AF45:AI45)=4,ROUND(SUM(AF45:AI45),2),"")</f>
        <v/>
      </c>
      <c r="AK45" s="7">
        <f>IF(AF45="","",IF(AF45&gt;=1.5,"Đạt","Chưa đạt"))</f>
        <v/>
      </c>
      <c r="AL45" s="7">
        <f>IF(AG45="","",IF(AG45&gt;=1.0,"Đạt","Chưa đạt"))</f>
        <v/>
      </c>
      <c r="AM45" s="7">
        <f>IF(AH45="","",IF(AH45&gt;=1.0,"Đạt","Chưa đạt"))</f>
        <v/>
      </c>
      <c r="AN45" s="7">
        <f>IF(AI45="","",IF(AI45&gt;=1.5,"Đạt","Chưa đạt"))</f>
        <v/>
      </c>
      <c r="AO45" s="32" t="n"/>
    </row>
    <row r="46">
      <c r="A46" s="7" t="n">
        <v>43</v>
      </c>
      <c r="B46" s="32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7">
        <f>IF(COUNT(E46:L46)=8,ROUND(SUM(E46:L46),2),"")</f>
        <v/>
      </c>
      <c r="AG46" s="7">
        <f>IF(COUNT(M46:R46)=6,ROUND(SUM(M46:R46),2),"")</f>
        <v/>
      </c>
      <c r="AH46" s="7">
        <f>IF(COUNT(S46:X46)=6,ROUND(SUM(S46:X46),2),"")</f>
        <v/>
      </c>
      <c r="AI46" s="7">
        <f>IF(COUNT(Y46:AE46)=7,ROUND(SUM(Y46:AE46),2),"")</f>
        <v/>
      </c>
      <c r="AJ46" s="33">
        <f>IF(COUNT(AF46:AI46)=4,ROUND(SUM(AF46:AI46),2),"")</f>
        <v/>
      </c>
      <c r="AK46" s="7">
        <f>IF(AF46="","",IF(AF46&gt;=1.5,"Đạt","Chưa đạt"))</f>
        <v/>
      </c>
      <c r="AL46" s="7">
        <f>IF(AG46="","",IF(AG46&gt;=1.0,"Đạt","Chưa đạt"))</f>
        <v/>
      </c>
      <c r="AM46" s="7">
        <f>IF(AH46="","",IF(AH46&gt;=1.0,"Đạt","Chưa đạt"))</f>
        <v/>
      </c>
      <c r="AN46" s="7">
        <f>IF(AI46="","",IF(AI46&gt;=1.5,"Đạt","Chưa đạt"))</f>
        <v/>
      </c>
      <c r="AO46" s="32" t="n"/>
    </row>
    <row r="47">
      <c r="A47" s="7" t="n">
        <v>44</v>
      </c>
      <c r="B47" s="32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  <c r="Z47" s="32" t="n"/>
      <c r="AA47" s="32" t="n"/>
      <c r="AB47" s="32" t="n"/>
      <c r="AC47" s="32" t="n"/>
      <c r="AD47" s="32" t="n"/>
      <c r="AE47" s="32" t="n"/>
      <c r="AF47" s="7">
        <f>IF(COUNT(E47:L47)=8,ROUND(SUM(E47:L47),2),"")</f>
        <v/>
      </c>
      <c r="AG47" s="7">
        <f>IF(COUNT(M47:R47)=6,ROUND(SUM(M47:R47),2),"")</f>
        <v/>
      </c>
      <c r="AH47" s="7">
        <f>IF(COUNT(S47:X47)=6,ROUND(SUM(S47:X47),2),"")</f>
        <v/>
      </c>
      <c r="AI47" s="7">
        <f>IF(COUNT(Y47:AE47)=7,ROUND(SUM(Y47:AE47),2),"")</f>
        <v/>
      </c>
      <c r="AJ47" s="33">
        <f>IF(COUNT(AF47:AI47)=4,ROUND(SUM(AF47:AI47),2),"")</f>
        <v/>
      </c>
      <c r="AK47" s="7">
        <f>IF(AF47="","",IF(AF47&gt;=1.5,"Đạt","Chưa đạt"))</f>
        <v/>
      </c>
      <c r="AL47" s="7">
        <f>IF(AG47="","",IF(AG47&gt;=1.0,"Đạt","Chưa đạt"))</f>
        <v/>
      </c>
      <c r="AM47" s="7">
        <f>IF(AH47="","",IF(AH47&gt;=1.0,"Đạt","Chưa đạt"))</f>
        <v/>
      </c>
      <c r="AN47" s="7">
        <f>IF(AI47="","",IF(AI47&gt;=1.5,"Đạt","Chưa đạt"))</f>
        <v/>
      </c>
      <c r="AO47" s="32" t="n"/>
    </row>
    <row r="48">
      <c r="A48" s="7" t="n">
        <v>45</v>
      </c>
      <c r="B48" s="32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7">
        <f>IF(COUNT(E48:L48)=8,ROUND(SUM(E48:L48),2),"")</f>
        <v/>
      </c>
      <c r="AG48" s="7">
        <f>IF(COUNT(M48:R48)=6,ROUND(SUM(M48:R48),2),"")</f>
        <v/>
      </c>
      <c r="AH48" s="7">
        <f>IF(COUNT(S48:X48)=6,ROUND(SUM(S48:X48),2),"")</f>
        <v/>
      </c>
      <c r="AI48" s="7">
        <f>IF(COUNT(Y48:AE48)=7,ROUND(SUM(Y48:AE48),2),"")</f>
        <v/>
      </c>
      <c r="AJ48" s="33">
        <f>IF(COUNT(AF48:AI48)=4,ROUND(SUM(AF48:AI48),2),"")</f>
        <v/>
      </c>
      <c r="AK48" s="7">
        <f>IF(AF48="","",IF(AF48&gt;=1.5,"Đạt","Chưa đạt"))</f>
        <v/>
      </c>
      <c r="AL48" s="7">
        <f>IF(AG48="","",IF(AG48&gt;=1.0,"Đạt","Chưa đạt"))</f>
        <v/>
      </c>
      <c r="AM48" s="7">
        <f>IF(AH48="","",IF(AH48&gt;=1.0,"Đạt","Chưa đạt"))</f>
        <v/>
      </c>
      <c r="AN48" s="7">
        <f>IF(AI48="","",IF(AI48&gt;=1.5,"Đạt","Chưa đạt"))</f>
        <v/>
      </c>
      <c r="AO48" s="32" t="n"/>
    </row>
    <row r="49">
      <c r="A49" s="7" t="n">
        <v>46</v>
      </c>
      <c r="B49" s="32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  <c r="Z49" s="32" t="n"/>
      <c r="AA49" s="32" t="n"/>
      <c r="AB49" s="32" t="n"/>
      <c r="AC49" s="32" t="n"/>
      <c r="AD49" s="32" t="n"/>
      <c r="AE49" s="32" t="n"/>
      <c r="AF49" s="7">
        <f>IF(COUNT(E49:L49)=8,ROUND(SUM(E49:L49),2),"")</f>
        <v/>
      </c>
      <c r="AG49" s="7">
        <f>IF(COUNT(M49:R49)=6,ROUND(SUM(M49:R49),2),"")</f>
        <v/>
      </c>
      <c r="AH49" s="7">
        <f>IF(COUNT(S49:X49)=6,ROUND(SUM(S49:X49),2),"")</f>
        <v/>
      </c>
      <c r="AI49" s="7">
        <f>IF(COUNT(Y49:AE49)=7,ROUND(SUM(Y49:AE49),2),"")</f>
        <v/>
      </c>
      <c r="AJ49" s="33">
        <f>IF(COUNT(AF49:AI49)=4,ROUND(SUM(AF49:AI49),2),"")</f>
        <v/>
      </c>
      <c r="AK49" s="7">
        <f>IF(AF49="","",IF(AF49&gt;=1.5,"Đạt","Chưa đạt"))</f>
        <v/>
      </c>
      <c r="AL49" s="7">
        <f>IF(AG49="","",IF(AG49&gt;=1.0,"Đạt","Chưa đạt"))</f>
        <v/>
      </c>
      <c r="AM49" s="7">
        <f>IF(AH49="","",IF(AH49&gt;=1.0,"Đạt","Chưa đạt"))</f>
        <v/>
      </c>
      <c r="AN49" s="7">
        <f>IF(AI49="","",IF(AI49&gt;=1.5,"Đạt","Chưa đạt"))</f>
        <v/>
      </c>
      <c r="AO49" s="32" t="n"/>
    </row>
    <row r="50">
      <c r="A50" s="7" t="n">
        <v>47</v>
      </c>
      <c r="B50" s="32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7">
        <f>IF(COUNT(E50:L50)=8,ROUND(SUM(E50:L50),2),"")</f>
        <v/>
      </c>
      <c r="AG50" s="7">
        <f>IF(COUNT(M50:R50)=6,ROUND(SUM(M50:R50),2),"")</f>
        <v/>
      </c>
      <c r="AH50" s="7">
        <f>IF(COUNT(S50:X50)=6,ROUND(SUM(S50:X50),2),"")</f>
        <v/>
      </c>
      <c r="AI50" s="7">
        <f>IF(COUNT(Y50:AE50)=7,ROUND(SUM(Y50:AE50),2),"")</f>
        <v/>
      </c>
      <c r="AJ50" s="33">
        <f>IF(COUNT(AF50:AI50)=4,ROUND(SUM(AF50:AI50),2),"")</f>
        <v/>
      </c>
      <c r="AK50" s="7">
        <f>IF(AF50="","",IF(AF50&gt;=1.5,"Đạt","Chưa đạt"))</f>
        <v/>
      </c>
      <c r="AL50" s="7">
        <f>IF(AG50="","",IF(AG50&gt;=1.0,"Đạt","Chưa đạt"))</f>
        <v/>
      </c>
      <c r="AM50" s="7">
        <f>IF(AH50="","",IF(AH50&gt;=1.0,"Đạt","Chưa đạt"))</f>
        <v/>
      </c>
      <c r="AN50" s="7">
        <f>IF(AI50="","",IF(AI50&gt;=1.5,"Đạt","Chưa đạt"))</f>
        <v/>
      </c>
      <c r="AO50" s="32" t="n"/>
    </row>
    <row r="51">
      <c r="A51" s="7" t="n">
        <v>48</v>
      </c>
      <c r="B51" s="32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7">
        <f>IF(COUNT(E51:L51)=8,ROUND(SUM(E51:L51),2),"")</f>
        <v/>
      </c>
      <c r="AG51" s="7">
        <f>IF(COUNT(M51:R51)=6,ROUND(SUM(M51:R51),2),"")</f>
        <v/>
      </c>
      <c r="AH51" s="7">
        <f>IF(COUNT(S51:X51)=6,ROUND(SUM(S51:X51),2),"")</f>
        <v/>
      </c>
      <c r="AI51" s="7">
        <f>IF(COUNT(Y51:AE51)=7,ROUND(SUM(Y51:AE51),2),"")</f>
        <v/>
      </c>
      <c r="AJ51" s="33">
        <f>IF(COUNT(AF51:AI51)=4,ROUND(SUM(AF51:AI51),2),"")</f>
        <v/>
      </c>
      <c r="AK51" s="7">
        <f>IF(AF51="","",IF(AF51&gt;=1.5,"Đạt","Chưa đạt"))</f>
        <v/>
      </c>
      <c r="AL51" s="7">
        <f>IF(AG51="","",IF(AG51&gt;=1.0,"Đạt","Chưa đạt"))</f>
        <v/>
      </c>
      <c r="AM51" s="7">
        <f>IF(AH51="","",IF(AH51&gt;=1.0,"Đạt","Chưa đạt"))</f>
        <v/>
      </c>
      <c r="AN51" s="7">
        <f>IF(AI51="","",IF(AI51&gt;=1.5,"Đạt","Chưa đạt"))</f>
        <v/>
      </c>
      <c r="AO51" s="32" t="n"/>
    </row>
    <row r="52">
      <c r="A52" s="7" t="n">
        <v>49</v>
      </c>
      <c r="B52" s="32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7">
        <f>IF(COUNT(E52:L52)=8,ROUND(SUM(E52:L52),2),"")</f>
        <v/>
      </c>
      <c r="AG52" s="7">
        <f>IF(COUNT(M52:R52)=6,ROUND(SUM(M52:R52),2),"")</f>
        <v/>
      </c>
      <c r="AH52" s="7">
        <f>IF(COUNT(S52:X52)=6,ROUND(SUM(S52:X52),2),"")</f>
        <v/>
      </c>
      <c r="AI52" s="7">
        <f>IF(COUNT(Y52:AE52)=7,ROUND(SUM(Y52:AE52),2),"")</f>
        <v/>
      </c>
      <c r="AJ52" s="33">
        <f>IF(COUNT(AF52:AI52)=4,ROUND(SUM(AF52:AI52),2),"")</f>
        <v/>
      </c>
      <c r="AK52" s="7">
        <f>IF(AF52="","",IF(AF52&gt;=1.5,"Đạt","Chưa đạt"))</f>
        <v/>
      </c>
      <c r="AL52" s="7">
        <f>IF(AG52="","",IF(AG52&gt;=1.0,"Đạt","Chưa đạt"))</f>
        <v/>
      </c>
      <c r="AM52" s="7">
        <f>IF(AH52="","",IF(AH52&gt;=1.0,"Đạt","Chưa đạt"))</f>
        <v/>
      </c>
      <c r="AN52" s="7">
        <f>IF(AI52="","",IF(AI52&gt;=1.5,"Đạt","Chưa đạt"))</f>
        <v/>
      </c>
      <c r="AO52" s="32" t="n"/>
    </row>
    <row r="53">
      <c r="A53" s="7" t="n">
        <v>50</v>
      </c>
      <c r="B53" s="32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  <c r="Z53" s="32" t="n"/>
      <c r="AA53" s="32" t="n"/>
      <c r="AB53" s="32" t="n"/>
      <c r="AC53" s="32" t="n"/>
      <c r="AD53" s="32" t="n"/>
      <c r="AE53" s="32" t="n"/>
      <c r="AF53" s="7">
        <f>IF(COUNT(E53:L53)=8,ROUND(SUM(E53:L53),2),"")</f>
        <v/>
      </c>
      <c r="AG53" s="7">
        <f>IF(COUNT(M53:R53)=6,ROUND(SUM(M53:R53),2),"")</f>
        <v/>
      </c>
      <c r="AH53" s="7">
        <f>IF(COUNT(S53:X53)=6,ROUND(SUM(S53:X53),2),"")</f>
        <v/>
      </c>
      <c r="AI53" s="7">
        <f>IF(COUNT(Y53:AE53)=7,ROUND(SUM(Y53:AE53),2),"")</f>
        <v/>
      </c>
      <c r="AJ53" s="33">
        <f>IF(COUNT(AF53:AI53)=4,ROUND(SUM(AF53:AI53),2),"")</f>
        <v/>
      </c>
      <c r="AK53" s="7">
        <f>IF(AF53="","",IF(AF53&gt;=1.5,"Đạt","Chưa đạt"))</f>
        <v/>
      </c>
      <c r="AL53" s="7">
        <f>IF(AG53="","",IF(AG53&gt;=1.0,"Đạt","Chưa đạt"))</f>
        <v/>
      </c>
      <c r="AM53" s="7">
        <f>IF(AH53="","",IF(AH53&gt;=1.0,"Đạt","Chưa đạt"))</f>
        <v/>
      </c>
      <c r="AN53" s="7">
        <f>IF(AI53="","",IF(AI53&gt;=1.5,"Đạt","Chưa đạt"))</f>
        <v/>
      </c>
      <c r="AO53" s="32" t="n"/>
    </row>
    <row r="54">
      <c r="A54" s="7" t="n">
        <v>51</v>
      </c>
      <c r="B54" s="32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7">
        <f>IF(COUNT(E54:L54)=8,ROUND(SUM(E54:L54),2),"")</f>
        <v/>
      </c>
      <c r="AG54" s="7">
        <f>IF(COUNT(M54:R54)=6,ROUND(SUM(M54:R54),2),"")</f>
        <v/>
      </c>
      <c r="AH54" s="7">
        <f>IF(COUNT(S54:X54)=6,ROUND(SUM(S54:X54),2),"")</f>
        <v/>
      </c>
      <c r="AI54" s="7">
        <f>IF(COUNT(Y54:AE54)=7,ROUND(SUM(Y54:AE54),2),"")</f>
        <v/>
      </c>
      <c r="AJ54" s="33">
        <f>IF(COUNT(AF54:AI54)=4,ROUND(SUM(AF54:AI54),2),"")</f>
        <v/>
      </c>
      <c r="AK54" s="7">
        <f>IF(AF54="","",IF(AF54&gt;=1.5,"Đạt","Chưa đạt"))</f>
        <v/>
      </c>
      <c r="AL54" s="7">
        <f>IF(AG54="","",IF(AG54&gt;=1.0,"Đạt","Chưa đạt"))</f>
        <v/>
      </c>
      <c r="AM54" s="7">
        <f>IF(AH54="","",IF(AH54&gt;=1.0,"Đạt","Chưa đạt"))</f>
        <v/>
      </c>
      <c r="AN54" s="7">
        <f>IF(AI54="","",IF(AI54&gt;=1.5,"Đạt","Chưa đạt"))</f>
        <v/>
      </c>
      <c r="AO54" s="32" t="n"/>
    </row>
    <row r="55">
      <c r="A55" s="7" t="n">
        <v>52</v>
      </c>
      <c r="B55" s="32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7">
        <f>IF(COUNT(E55:L55)=8,ROUND(SUM(E55:L55),2),"")</f>
        <v/>
      </c>
      <c r="AG55" s="7">
        <f>IF(COUNT(M55:R55)=6,ROUND(SUM(M55:R55),2),"")</f>
        <v/>
      </c>
      <c r="AH55" s="7">
        <f>IF(COUNT(S55:X55)=6,ROUND(SUM(S55:X55),2),"")</f>
        <v/>
      </c>
      <c r="AI55" s="7">
        <f>IF(COUNT(Y55:AE55)=7,ROUND(SUM(Y55:AE55),2),"")</f>
        <v/>
      </c>
      <c r="AJ55" s="33">
        <f>IF(COUNT(AF55:AI55)=4,ROUND(SUM(AF55:AI55),2),"")</f>
        <v/>
      </c>
      <c r="AK55" s="7">
        <f>IF(AF55="","",IF(AF55&gt;=1.5,"Đạt","Chưa đạt"))</f>
        <v/>
      </c>
      <c r="AL55" s="7">
        <f>IF(AG55="","",IF(AG55&gt;=1.0,"Đạt","Chưa đạt"))</f>
        <v/>
      </c>
      <c r="AM55" s="7">
        <f>IF(AH55="","",IF(AH55&gt;=1.0,"Đạt","Chưa đạt"))</f>
        <v/>
      </c>
      <c r="AN55" s="7">
        <f>IF(AI55="","",IF(AI55&gt;=1.5,"Đạt","Chưa đạt"))</f>
        <v/>
      </c>
      <c r="AO55" s="32" t="n"/>
    </row>
    <row r="56">
      <c r="A56" s="7" t="n">
        <v>53</v>
      </c>
      <c r="B56" s="32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  <c r="Z56" s="32" t="n"/>
      <c r="AA56" s="32" t="n"/>
      <c r="AB56" s="32" t="n"/>
      <c r="AC56" s="32" t="n"/>
      <c r="AD56" s="32" t="n"/>
      <c r="AE56" s="32" t="n"/>
      <c r="AF56" s="7">
        <f>IF(COUNT(E56:L56)=8,ROUND(SUM(E56:L56),2),"")</f>
        <v/>
      </c>
      <c r="AG56" s="7">
        <f>IF(COUNT(M56:R56)=6,ROUND(SUM(M56:R56),2),"")</f>
        <v/>
      </c>
      <c r="AH56" s="7">
        <f>IF(COUNT(S56:X56)=6,ROUND(SUM(S56:X56),2),"")</f>
        <v/>
      </c>
      <c r="AI56" s="7">
        <f>IF(COUNT(Y56:AE56)=7,ROUND(SUM(Y56:AE56),2),"")</f>
        <v/>
      </c>
      <c r="AJ56" s="33">
        <f>IF(COUNT(AF56:AI56)=4,ROUND(SUM(AF56:AI56),2),"")</f>
        <v/>
      </c>
      <c r="AK56" s="7">
        <f>IF(AF56="","",IF(AF56&gt;=1.5,"Đạt","Chưa đạt"))</f>
        <v/>
      </c>
      <c r="AL56" s="7">
        <f>IF(AG56="","",IF(AG56&gt;=1.0,"Đạt","Chưa đạt"))</f>
        <v/>
      </c>
      <c r="AM56" s="7">
        <f>IF(AH56="","",IF(AH56&gt;=1.0,"Đạt","Chưa đạt"))</f>
        <v/>
      </c>
      <c r="AN56" s="7">
        <f>IF(AI56="","",IF(AI56&gt;=1.5,"Đạt","Chưa đạt"))</f>
        <v/>
      </c>
      <c r="AO56" s="32" t="n"/>
    </row>
    <row r="57">
      <c r="A57" s="7" t="n">
        <v>54</v>
      </c>
      <c r="B57" s="32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  <c r="Z57" s="32" t="n"/>
      <c r="AA57" s="32" t="n"/>
      <c r="AB57" s="32" t="n"/>
      <c r="AC57" s="32" t="n"/>
      <c r="AD57" s="32" t="n"/>
      <c r="AE57" s="32" t="n"/>
      <c r="AF57" s="7">
        <f>IF(COUNT(E57:L57)=8,ROUND(SUM(E57:L57),2),"")</f>
        <v/>
      </c>
      <c r="AG57" s="7">
        <f>IF(COUNT(M57:R57)=6,ROUND(SUM(M57:R57),2),"")</f>
        <v/>
      </c>
      <c r="AH57" s="7">
        <f>IF(COUNT(S57:X57)=6,ROUND(SUM(S57:X57),2),"")</f>
        <v/>
      </c>
      <c r="AI57" s="7">
        <f>IF(COUNT(Y57:AE57)=7,ROUND(SUM(Y57:AE57),2),"")</f>
        <v/>
      </c>
      <c r="AJ57" s="33">
        <f>IF(COUNT(AF57:AI57)=4,ROUND(SUM(AF57:AI57),2),"")</f>
        <v/>
      </c>
      <c r="AK57" s="7">
        <f>IF(AF57="","",IF(AF57&gt;=1.5,"Đạt","Chưa đạt"))</f>
        <v/>
      </c>
      <c r="AL57" s="7">
        <f>IF(AG57="","",IF(AG57&gt;=1.0,"Đạt","Chưa đạt"))</f>
        <v/>
      </c>
      <c r="AM57" s="7">
        <f>IF(AH57="","",IF(AH57&gt;=1.0,"Đạt","Chưa đạt"))</f>
        <v/>
      </c>
      <c r="AN57" s="7">
        <f>IF(AI57="","",IF(AI57&gt;=1.5,"Đạt","Chưa đạt"))</f>
        <v/>
      </c>
      <c r="AO57" s="32" t="n"/>
    </row>
    <row r="58">
      <c r="A58" s="7" t="n">
        <v>55</v>
      </c>
      <c r="B58" s="32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  <c r="Z58" s="32" t="n"/>
      <c r="AA58" s="32" t="n"/>
      <c r="AB58" s="32" t="n"/>
      <c r="AC58" s="32" t="n"/>
      <c r="AD58" s="32" t="n"/>
      <c r="AE58" s="32" t="n"/>
      <c r="AF58" s="7">
        <f>IF(COUNT(E58:L58)=8,ROUND(SUM(E58:L58),2),"")</f>
        <v/>
      </c>
      <c r="AG58" s="7">
        <f>IF(COUNT(M58:R58)=6,ROUND(SUM(M58:R58),2),"")</f>
        <v/>
      </c>
      <c r="AH58" s="7">
        <f>IF(COUNT(S58:X58)=6,ROUND(SUM(S58:X58),2),"")</f>
        <v/>
      </c>
      <c r="AI58" s="7">
        <f>IF(COUNT(Y58:AE58)=7,ROUND(SUM(Y58:AE58),2),"")</f>
        <v/>
      </c>
      <c r="AJ58" s="33">
        <f>IF(COUNT(AF58:AI58)=4,ROUND(SUM(AF58:AI58),2),"")</f>
        <v/>
      </c>
      <c r="AK58" s="7">
        <f>IF(AF58="","",IF(AF58&gt;=1.5,"Đạt","Chưa đạt"))</f>
        <v/>
      </c>
      <c r="AL58" s="7">
        <f>IF(AG58="","",IF(AG58&gt;=1.0,"Đạt","Chưa đạt"))</f>
        <v/>
      </c>
      <c r="AM58" s="7">
        <f>IF(AH58="","",IF(AH58&gt;=1.0,"Đạt","Chưa đạt"))</f>
        <v/>
      </c>
      <c r="AN58" s="7">
        <f>IF(AI58="","",IF(AI58&gt;=1.5,"Đạt","Chưa đạt"))</f>
        <v/>
      </c>
      <c r="AO58" s="32" t="n"/>
    </row>
    <row r="59">
      <c r="A59" s="7" t="n">
        <v>56</v>
      </c>
      <c r="B59" s="32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7">
        <f>IF(COUNT(E59:L59)=8,ROUND(SUM(E59:L59),2),"")</f>
        <v/>
      </c>
      <c r="AG59" s="7">
        <f>IF(COUNT(M59:R59)=6,ROUND(SUM(M59:R59),2),"")</f>
        <v/>
      </c>
      <c r="AH59" s="7">
        <f>IF(COUNT(S59:X59)=6,ROUND(SUM(S59:X59),2),"")</f>
        <v/>
      </c>
      <c r="AI59" s="7">
        <f>IF(COUNT(Y59:AE59)=7,ROUND(SUM(Y59:AE59),2),"")</f>
        <v/>
      </c>
      <c r="AJ59" s="33">
        <f>IF(COUNT(AF59:AI59)=4,ROUND(SUM(AF59:AI59),2),"")</f>
        <v/>
      </c>
      <c r="AK59" s="7">
        <f>IF(AF59="","",IF(AF59&gt;=1.5,"Đạt","Chưa đạt"))</f>
        <v/>
      </c>
      <c r="AL59" s="7">
        <f>IF(AG59="","",IF(AG59&gt;=1.0,"Đạt","Chưa đạt"))</f>
        <v/>
      </c>
      <c r="AM59" s="7">
        <f>IF(AH59="","",IF(AH59&gt;=1.0,"Đạt","Chưa đạt"))</f>
        <v/>
      </c>
      <c r="AN59" s="7">
        <f>IF(AI59="","",IF(AI59&gt;=1.5,"Đạt","Chưa đạt"))</f>
        <v/>
      </c>
      <c r="AO59" s="32" t="n"/>
    </row>
    <row r="60">
      <c r="A60" s="7" t="n">
        <v>57</v>
      </c>
      <c r="B60" s="32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7">
        <f>IF(COUNT(E60:L60)=8,ROUND(SUM(E60:L60),2),"")</f>
        <v/>
      </c>
      <c r="AG60" s="7">
        <f>IF(COUNT(M60:R60)=6,ROUND(SUM(M60:R60),2),"")</f>
        <v/>
      </c>
      <c r="AH60" s="7">
        <f>IF(COUNT(S60:X60)=6,ROUND(SUM(S60:X60),2),"")</f>
        <v/>
      </c>
      <c r="AI60" s="7">
        <f>IF(COUNT(Y60:AE60)=7,ROUND(SUM(Y60:AE60),2),"")</f>
        <v/>
      </c>
      <c r="AJ60" s="33">
        <f>IF(COUNT(AF60:AI60)=4,ROUND(SUM(AF60:AI60),2),"")</f>
        <v/>
      </c>
      <c r="AK60" s="7">
        <f>IF(AF60="","",IF(AF60&gt;=1.5,"Đạt","Chưa đạt"))</f>
        <v/>
      </c>
      <c r="AL60" s="7">
        <f>IF(AG60="","",IF(AG60&gt;=1.0,"Đạt","Chưa đạt"))</f>
        <v/>
      </c>
      <c r="AM60" s="7">
        <f>IF(AH60="","",IF(AH60&gt;=1.0,"Đạt","Chưa đạt"))</f>
        <v/>
      </c>
      <c r="AN60" s="7">
        <f>IF(AI60="","",IF(AI60&gt;=1.5,"Đạt","Chưa đạt"))</f>
        <v/>
      </c>
      <c r="AO60" s="32" t="n"/>
    </row>
    <row r="61">
      <c r="A61" s="7" t="n">
        <v>58</v>
      </c>
      <c r="B61" s="32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7">
        <f>IF(COUNT(E61:L61)=8,ROUND(SUM(E61:L61),2),"")</f>
        <v/>
      </c>
      <c r="AG61" s="7">
        <f>IF(COUNT(M61:R61)=6,ROUND(SUM(M61:R61),2),"")</f>
        <v/>
      </c>
      <c r="AH61" s="7">
        <f>IF(COUNT(S61:X61)=6,ROUND(SUM(S61:X61),2),"")</f>
        <v/>
      </c>
      <c r="AI61" s="7">
        <f>IF(COUNT(Y61:AE61)=7,ROUND(SUM(Y61:AE61),2),"")</f>
        <v/>
      </c>
      <c r="AJ61" s="33">
        <f>IF(COUNT(AF61:AI61)=4,ROUND(SUM(AF61:AI61),2),"")</f>
        <v/>
      </c>
      <c r="AK61" s="7">
        <f>IF(AF61="","",IF(AF61&gt;=1.5,"Đạt","Chưa đạt"))</f>
        <v/>
      </c>
      <c r="AL61" s="7">
        <f>IF(AG61="","",IF(AG61&gt;=1.0,"Đạt","Chưa đạt"))</f>
        <v/>
      </c>
      <c r="AM61" s="7">
        <f>IF(AH61="","",IF(AH61&gt;=1.0,"Đạt","Chưa đạt"))</f>
        <v/>
      </c>
      <c r="AN61" s="7">
        <f>IF(AI61="","",IF(AI61&gt;=1.5,"Đạt","Chưa đạt"))</f>
        <v/>
      </c>
      <c r="AO61" s="32" t="n"/>
    </row>
    <row r="62">
      <c r="A62" s="7" t="n">
        <v>59</v>
      </c>
      <c r="B62" s="32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7">
        <f>IF(COUNT(E62:L62)=8,ROUND(SUM(E62:L62),2),"")</f>
        <v/>
      </c>
      <c r="AG62" s="7">
        <f>IF(COUNT(M62:R62)=6,ROUND(SUM(M62:R62),2),"")</f>
        <v/>
      </c>
      <c r="AH62" s="7">
        <f>IF(COUNT(S62:X62)=6,ROUND(SUM(S62:X62),2),"")</f>
        <v/>
      </c>
      <c r="AI62" s="7">
        <f>IF(COUNT(Y62:AE62)=7,ROUND(SUM(Y62:AE62),2),"")</f>
        <v/>
      </c>
      <c r="AJ62" s="33">
        <f>IF(COUNT(AF62:AI62)=4,ROUND(SUM(AF62:AI62),2),"")</f>
        <v/>
      </c>
      <c r="AK62" s="7">
        <f>IF(AF62="","",IF(AF62&gt;=1.5,"Đạt","Chưa đạt"))</f>
        <v/>
      </c>
      <c r="AL62" s="7">
        <f>IF(AG62="","",IF(AG62&gt;=1.0,"Đạt","Chưa đạt"))</f>
        <v/>
      </c>
      <c r="AM62" s="7">
        <f>IF(AH62="","",IF(AH62&gt;=1.0,"Đạt","Chưa đạt"))</f>
        <v/>
      </c>
      <c r="AN62" s="7">
        <f>IF(AI62="","",IF(AI62&gt;=1.5,"Đạt","Chưa đạt"))</f>
        <v/>
      </c>
      <c r="AO62" s="32" t="n"/>
    </row>
    <row r="63">
      <c r="A63" s="7" t="n">
        <v>60</v>
      </c>
      <c r="B63" s="32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7">
        <f>IF(COUNT(E63:L63)=8,ROUND(SUM(E63:L63),2),"")</f>
        <v/>
      </c>
      <c r="AG63" s="7">
        <f>IF(COUNT(M63:R63)=6,ROUND(SUM(M63:R63),2),"")</f>
        <v/>
      </c>
      <c r="AH63" s="7">
        <f>IF(COUNT(S63:X63)=6,ROUND(SUM(S63:X63),2),"")</f>
        <v/>
      </c>
      <c r="AI63" s="7">
        <f>IF(COUNT(Y63:AE63)=7,ROUND(SUM(Y63:AE63),2),"")</f>
        <v/>
      </c>
      <c r="AJ63" s="33">
        <f>IF(COUNT(AF63:AI63)=4,ROUND(SUM(AF63:AI63),2),"")</f>
        <v/>
      </c>
      <c r="AK63" s="7">
        <f>IF(AF63="","",IF(AF63&gt;=1.5,"Đạt","Chưa đạt"))</f>
        <v/>
      </c>
      <c r="AL63" s="7">
        <f>IF(AG63="","",IF(AG63&gt;=1.0,"Đạt","Chưa đạt"))</f>
        <v/>
      </c>
      <c r="AM63" s="7">
        <f>IF(AH63="","",IF(AH63&gt;=1.0,"Đạt","Chưa đạt"))</f>
        <v/>
      </c>
      <c r="AN63" s="7">
        <f>IF(AI63="","",IF(AI63&gt;=1.5,"Đạt","Chưa đạt"))</f>
        <v/>
      </c>
      <c r="AO63" s="32" t="n"/>
    </row>
  </sheetData>
  <mergeCells count="12">
    <mergeCell ref="Y1:AE1"/>
    <mergeCell ref="A1:A3"/>
    <mergeCell ref="AO1:AO2"/>
    <mergeCell ref="D1:D3"/>
    <mergeCell ref="B1:B3"/>
    <mergeCell ref="C1:C3"/>
    <mergeCell ref="S1:X1"/>
    <mergeCell ref="E1:L1"/>
    <mergeCell ref="M1:R1"/>
    <mergeCell ref="AK1:AN1"/>
    <mergeCell ref="AF1:AI1"/>
    <mergeCell ref="AJ1:AJ2"/>
  </mergeCells>
  <conditionalFormatting sqref="AK4:AN63">
    <cfRule type="cellIs" priority="1" operator="equal" dxfId="0">
      <formula>"Chưa đạt"</formula>
    </cfRule>
    <cfRule type="cellIs" priority="2" operator="equal" dxfId="1">
      <formula>"Đạt"</formula>
    </cfRule>
  </conditionalFormatting>
  <dataValidations count="27">
    <dataValidation sqref="E4:E63" showDropDown="0" showInputMessage="0" showErrorMessage="1" allowBlank="1" errorTitle="Điểm không hợp lệ" error="Tiêu chí 1.1: nhập từ 0 đến 0.4" type="decimal" operator="between">
      <formula1>0</formula1>
      <formula2>0.4</formula2>
    </dataValidation>
    <dataValidation sqref="F4:F63" showDropDown="0" showInputMessage="0" showErrorMessage="1" allowBlank="1" errorTitle="Điểm không hợp lệ" error="Tiêu chí 1.2: nhập từ 0 đến 0.6" type="decimal" operator="between">
      <formula1>0</formula1>
      <formula2>0.6</formula2>
    </dataValidation>
    <dataValidation sqref="G4:G63" showDropDown="0" showInputMessage="0" showErrorMessage="1" allowBlank="1" errorTitle="Điểm không hợp lệ" error="Tiêu chí 1.3: nhập từ 0 đến 0.4" type="decimal" operator="between">
      <formula1>0</formula1>
      <formula2>0.4</formula2>
    </dataValidation>
    <dataValidation sqref="H4:H63" showDropDown="0" showInputMessage="0" showErrorMessage="1" allowBlank="1" errorTitle="Điểm không hợp lệ" error="Tiêu chí 1.4: nhập từ 0 đến 0.3" type="decimal" operator="between">
      <formula1>0</formula1>
      <formula2>0.3</formula2>
    </dataValidation>
    <dataValidation sqref="I4:I63" showDropDown="0" showInputMessage="0" showErrorMessage="1" allowBlank="1" errorTitle="Điểm không hợp lệ" error="Tiêu chí 1.5: nhập từ 0 đến 0.4" type="decimal" operator="between">
      <formula1>0</formula1>
      <formula2>0.4</formula2>
    </dataValidation>
    <dataValidation sqref="J4:J63" showDropDown="0" showInputMessage="0" showErrorMessage="1" allowBlank="1" errorTitle="Điểm không hợp lệ" error="Tiêu chí 1.6: nhập từ 0 đến 0.3" type="decimal" operator="between">
      <formula1>0</formula1>
      <formula2>0.3</formula2>
    </dataValidation>
    <dataValidation sqref="K4:K63" showDropDown="0" showInputMessage="0" showErrorMessage="1" allowBlank="1" errorTitle="Điểm không hợp lệ" error="Tiêu chí 1.7: nhập từ 0 đến 0.3" type="decimal" operator="between">
      <formula1>0</formula1>
      <formula2>0.3</formula2>
    </dataValidation>
    <dataValidation sqref="L4:L63" showDropDown="0" showInputMessage="0" showErrorMessage="1" allowBlank="1" errorTitle="Điểm không hợp lệ" error="Tiêu chí 1.8: nhập từ 0 đến 0.3" type="decimal" operator="between">
      <formula1>0</formula1>
      <formula2>0.3</formula2>
    </dataValidation>
    <dataValidation sqref="M4:M63" showDropDown="0" showInputMessage="0" showErrorMessage="1" allowBlank="1" errorTitle="Điểm không hợp lệ" error="Tiêu chí 2.1: nhập từ 0 đến 0.4" type="decimal" operator="between">
      <formula1>0</formula1>
      <formula2>0.4</formula2>
    </dataValidation>
    <dataValidation sqref="N4:N63" showDropDown="0" showInputMessage="0" showErrorMessage="1" allowBlank="1" errorTitle="Điểm không hợp lệ" error="Tiêu chí 2.2: nhập từ 0 đến 0.3" type="decimal" operator="between">
      <formula1>0</formula1>
      <formula2>0.3</formula2>
    </dataValidation>
    <dataValidation sqref="O4:O63" showDropDown="0" showInputMessage="0" showErrorMessage="1" allowBlank="1" errorTitle="Điểm không hợp lệ" error="Tiêu chí 2.3: nhập từ 0 đến 0.3" type="decimal" operator="between">
      <formula1>0</formula1>
      <formula2>0.3</formula2>
    </dataValidation>
    <dataValidation sqref="P4:P63" showDropDown="0" showInputMessage="0" showErrorMessage="1" allowBlank="1" errorTitle="Điểm không hợp lệ" error="Tiêu chí 2.4: nhập từ 0 đến 0.4" type="decimal" operator="between">
      <formula1>0</formula1>
      <formula2>0.4</formula2>
    </dataValidation>
    <dataValidation sqref="Q4:Q63" showDropDown="0" showInputMessage="0" showErrorMessage="1" allowBlank="1" errorTitle="Điểm không hợp lệ" error="Tiêu chí 2.5: nhập từ 0 đến 0.3" type="decimal" operator="between">
      <formula1>0</formula1>
      <formula2>0.3</formula2>
    </dataValidation>
    <dataValidation sqref="R4:R63" showDropDown="0" showInputMessage="0" showErrorMessage="1" allowBlank="1" errorTitle="Điểm không hợp lệ" error="Tiêu chí 2.6: nhập từ 0 đến 0.3" type="decimal" operator="between">
      <formula1>0</formula1>
      <formula2>0.3</formula2>
    </dataValidation>
    <dataValidation sqref="S4:S63" showDropDown="0" showInputMessage="0" showErrorMessage="1" allowBlank="1" errorTitle="Điểm không hợp lệ" error="Tiêu chí 3.1: nhập từ 0 đến 0.5" type="decimal" operator="between">
      <formula1>0</formula1>
      <formula2>0.5</formula2>
    </dataValidation>
    <dataValidation sqref="T4:T63" showDropDown="0" showInputMessage="0" showErrorMessage="1" allowBlank="1" errorTitle="Điểm không hợp lệ" error="Tiêu chí 3.2: nhập từ 0 đến 0.4" type="decimal" operator="between">
      <formula1>0</formula1>
      <formula2>0.4</formula2>
    </dataValidation>
    <dataValidation sqref="U4:U63" showDropDown="0" showInputMessage="0" showErrorMessage="1" allowBlank="1" errorTitle="Điểm không hợp lệ" error="Tiêu chí 3.3: nhập từ 0 đến 0.4" type="decimal" operator="between">
      <formula1>0</formula1>
      <formula2>0.4</formula2>
    </dataValidation>
    <dataValidation sqref="V4:V63" showDropDown="0" showInputMessage="0" showErrorMessage="1" allowBlank="1" errorTitle="Điểm không hợp lệ" error="Tiêu chí 3.4: nhập từ 0 đến 0.3" type="decimal" operator="between">
      <formula1>0</formula1>
      <formula2>0.3</formula2>
    </dataValidation>
    <dataValidation sqref="W4:W63" showDropDown="0" showInputMessage="0" showErrorMessage="1" allowBlank="1" errorTitle="Điểm không hợp lệ" error="Tiêu chí 3.5: nhập từ 0 đến 0.2" type="decimal" operator="between">
      <formula1>0</formula1>
      <formula2>0.2</formula2>
    </dataValidation>
    <dataValidation sqref="X4:X63" showDropDown="0" showInputMessage="0" showErrorMessage="1" allowBlank="1" errorTitle="Điểm không hợp lệ" error="Tiêu chí 3.6: nhập từ 0 đến 0.2" type="decimal" operator="between">
      <formula1>0</formula1>
      <formula2>0.2</formula2>
    </dataValidation>
    <dataValidation sqref="Y4:Y63" showDropDown="0" showInputMessage="0" showErrorMessage="1" allowBlank="1" errorTitle="Điểm không hợp lệ" error="Tiêu chí 4.1: nhập từ 0 đến 0.6" type="decimal" operator="between">
      <formula1>0</formula1>
      <formula2>0.6</formula2>
    </dataValidation>
    <dataValidation sqref="Z4:Z63" showDropDown="0" showInputMessage="0" showErrorMessage="1" allowBlank="1" errorTitle="Điểm không hợp lệ" error="Tiêu chí 4.2: nhập từ 0 đến 0.4" type="decimal" operator="between">
      <formula1>0</formula1>
      <formula2>0.4</formula2>
    </dataValidation>
    <dataValidation sqref="AA4:AA63" showDropDown="0" showInputMessage="0" showErrorMessage="1" allowBlank="1" errorTitle="Điểm không hợp lệ" error="Tiêu chí 4.3: nhập từ 0 đến 0.4" type="decimal" operator="between">
      <formula1>0</formula1>
      <formula2>0.4</formula2>
    </dataValidation>
    <dataValidation sqref="AB4:AB63" showDropDown="0" showInputMessage="0" showErrorMessage="1" allowBlank="1" errorTitle="Điểm không hợp lệ" error="Tiêu chí 4.4: nhập từ 0 đến 0.4" type="decimal" operator="between">
      <formula1>0</formula1>
      <formula2>0.4</formula2>
    </dataValidation>
    <dataValidation sqref="AC4:AC63" showDropDown="0" showInputMessage="0" showErrorMessage="1" allowBlank="1" errorTitle="Điểm không hợp lệ" error="Tiêu chí 4.5: nhập từ 0 đến 0.6" type="decimal" operator="between">
      <formula1>0</formula1>
      <formula2>0.6</formula2>
    </dataValidation>
    <dataValidation sqref="AD4:AD63" showDropDown="0" showInputMessage="0" showErrorMessage="1" allowBlank="1" errorTitle="Điểm không hợp lệ" error="Tiêu chí 4.6: nhập từ 0 đến 0.3" type="decimal" operator="between">
      <formula1>0</formula1>
      <formula2>0.3</formula2>
    </dataValidation>
    <dataValidation sqref="AE4:AE63" showDropDown="0" showInputMessage="0" showErrorMessage="1" allowBlank="1" errorTitle="Điểm không hợp lệ" error="Tiêu chí 4.7: nhập từ 0 đến 0.3" type="decimal" operator="between">
      <formula1>0</formula1>
      <formula2>0.3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8" customWidth="1" min="9" max="9"/>
  </cols>
  <sheetData>
    <row r="1">
      <c r="A1" s="34" t="inlineStr">
        <is>
          <t>MỨC ĐẠT CLO - Lập trình ứng dụng di động (111114)</t>
        </is>
      </c>
    </row>
    <row r="2">
      <c r="A2" s="35" t="inlineStr">
        <is>
          <t>Sinh viên đạt một CLO khi được ít nhất 50% điểm tối đa của CLO đó. CLO đạt ở cấp lớp khi ít nhất 75% số sinh viên đạt.</t>
        </is>
      </c>
    </row>
    <row r="4">
      <c r="A4" s="5" t="inlineStr">
        <is>
          <t>CLO</t>
        </is>
      </c>
      <c r="B4" s="5" t="inlineStr">
        <is>
          <t>Nội dung</t>
        </is>
      </c>
      <c r="C4" s="5" t="inlineStr">
        <is>
          <t>Điểm tối đa</t>
        </is>
      </c>
      <c r="D4" s="5" t="inlineStr">
        <is>
          <t>Ngưỡng SV đạt</t>
        </is>
      </c>
      <c r="E4" s="5" t="inlineStr">
        <is>
          <t>Số SV có điểm</t>
        </is>
      </c>
      <c r="F4" s="5" t="inlineStr">
        <is>
          <t>Số SV đạt</t>
        </is>
      </c>
      <c r="G4" s="5" t="inlineStr">
        <is>
          <t>Tỷ lệ đạt</t>
        </is>
      </c>
      <c r="H4" s="5" t="inlineStr">
        <is>
          <t>Điểm TB</t>
        </is>
      </c>
      <c r="I4" s="5" t="inlineStr">
        <is>
          <t>Kết luận cấp lớp</t>
        </is>
      </c>
    </row>
    <row r="5">
      <c r="A5" s="7" t="inlineStr">
        <is>
          <t>CLO1</t>
        </is>
      </c>
      <c r="B5" s="9" t="inlineStr">
        <is>
          <t>Thiết kế các thành phần chức năng của ứng dụng di động đáp ứng các yêu cầu đặt ra</t>
        </is>
      </c>
      <c r="C5" s="7" t="n">
        <v>3</v>
      </c>
      <c r="D5" s="7" t="n">
        <v>1.5</v>
      </c>
      <c r="E5" s="7">
        <f>COUNT('Bảng điểm'!AF4:AF63)</f>
        <v/>
      </c>
      <c r="F5" s="7">
        <f>COUNTIF('Bảng điểm'!AK4:AK63,"Đạt")</f>
        <v/>
      </c>
      <c r="G5" s="36">
        <f>IF(E5=0,"",F5/E5)</f>
        <v/>
      </c>
      <c r="H5" s="7">
        <f>IF(E5=0,"",ROUND(AVERAGE('Bảng điểm'!AF4:AF63),2))</f>
        <v/>
      </c>
      <c r="I5" s="7">
        <f>IF(E5=0,"",IF(G5&gt;=0.75,"Đạt","Chưa đạt"))</f>
        <v/>
      </c>
    </row>
    <row r="6">
      <c r="A6" s="7" t="inlineStr">
        <is>
          <t>CLO2</t>
        </is>
      </c>
      <c r="B6" s="9" t="inlineStr">
        <is>
          <t>Thiết kế cơ sở dữ liệu đáp ứng cấu trúc dữ liệu phù hợp yêu cầu đặc tả</t>
        </is>
      </c>
      <c r="C6" s="7" t="n">
        <v>2</v>
      </c>
      <c r="D6" s="7" t="n">
        <v>1</v>
      </c>
      <c r="E6" s="7">
        <f>COUNT('Bảng điểm'!AG4:AG63)</f>
        <v/>
      </c>
      <c r="F6" s="7">
        <f>COUNTIF('Bảng điểm'!AL4:AL63,"Đạt")</f>
        <v/>
      </c>
      <c r="G6" s="36">
        <f>IF(E6=0,"",F6/E6)</f>
        <v/>
      </c>
      <c r="H6" s="7">
        <f>IF(E6=0,"",ROUND(AVERAGE('Bảng điểm'!AG4:AG63),2))</f>
        <v/>
      </c>
      <c r="I6" s="7">
        <f>IF(E6=0,"",IF(G6&gt;=0.75,"Đạt","Chưa đạt"))</f>
        <v/>
      </c>
    </row>
    <row r="7">
      <c r="A7" s="7" t="inlineStr">
        <is>
          <t>CLO3</t>
        </is>
      </c>
      <c r="B7" s="9" t="inlineStr">
        <is>
          <t>Sử dụng được các công cụ đồ họa để trình bày các ý tưởng thiết kế dữ liệu</t>
        </is>
      </c>
      <c r="C7" s="7" t="n">
        <v>2</v>
      </c>
      <c r="D7" s="7" t="n">
        <v>1</v>
      </c>
      <c r="E7" s="7">
        <f>COUNT('Bảng điểm'!AH4:AH63)</f>
        <v/>
      </c>
      <c r="F7" s="7">
        <f>COUNTIF('Bảng điểm'!AM4:AM63,"Đạt")</f>
        <v/>
      </c>
      <c r="G7" s="36">
        <f>IF(E7=0,"",F7/E7)</f>
        <v/>
      </c>
      <c r="H7" s="7">
        <f>IF(E7=0,"",ROUND(AVERAGE('Bảng điểm'!AH4:AH63),2))</f>
        <v/>
      </c>
      <c r="I7" s="7">
        <f>IF(E7=0,"",IF(G7&gt;=0.75,"Đạt","Chưa đạt"))</f>
        <v/>
      </c>
    </row>
    <row r="8">
      <c r="A8" s="7" t="inlineStr">
        <is>
          <t>CLO4</t>
        </is>
      </c>
      <c r="B8" s="9" t="inlineStr">
        <is>
          <t>Thể hiện được vai trò cá nhân trong nhóm một cách rõ ràng</t>
        </is>
      </c>
      <c r="C8" s="7" t="n">
        <v>3</v>
      </c>
      <c r="D8" s="7" t="n">
        <v>1.5</v>
      </c>
      <c r="E8" s="7">
        <f>COUNT('Bảng điểm'!AI4:AI63)</f>
        <v/>
      </c>
      <c r="F8" s="7">
        <f>COUNTIF('Bảng điểm'!AN4:AN63,"Đạt")</f>
        <v/>
      </c>
      <c r="G8" s="36">
        <f>IF(E8=0,"",F8/E8)</f>
        <v/>
      </c>
      <c r="H8" s="7">
        <f>IF(E8=0,"",ROUND(AVERAGE('Bảng điểm'!AI4:AI63),2))</f>
        <v/>
      </c>
      <c r="I8" s="7">
        <f>IF(E8=0,"",IF(G8&gt;=0.75,"Đạt","Chưa đạt"))</f>
        <v/>
      </c>
    </row>
    <row r="10">
      <c r="A10" s="37" t="inlineStr">
        <is>
          <t>Điểm trung bình theo tiêu chí</t>
        </is>
      </c>
    </row>
    <row r="11">
      <c r="A11" s="5" t="inlineStr">
        <is>
          <t>Mã</t>
        </is>
      </c>
      <c r="B11" s="5" t="inlineStr">
        <is>
          <t>Tiêu chí</t>
        </is>
      </c>
      <c r="C11" s="5" t="inlineStr">
        <is>
          <t>Điểm tối đa</t>
        </is>
      </c>
      <c r="D11" s="5" t="inlineStr">
        <is>
          <t>Phạm vi</t>
        </is>
      </c>
      <c r="E11" s="5" t="inlineStr">
        <is>
          <t>Số SV có điểm</t>
        </is>
      </c>
      <c r="F11" s="5" t="inlineStr">
        <is>
          <t>Điểm TB</t>
        </is>
      </c>
      <c r="G11" s="5" t="inlineStr">
        <is>
          <t>TB / tối đa</t>
        </is>
      </c>
    </row>
    <row r="12">
      <c r="A12" s="7" t="inlineStr">
        <is>
          <t>1.1</t>
        </is>
      </c>
      <c r="B12" s="9" t="inlineStr">
        <is>
          <t>Sơ đồ chức năng và phạm vi</t>
        </is>
      </c>
      <c r="C12" s="7" t="n">
        <v>0.4</v>
      </c>
      <c r="D12" s="7" t="inlineStr">
        <is>
          <t>Nhóm</t>
        </is>
      </c>
      <c r="E12" s="7">
        <f>COUNT('Bảng điểm'!E4:E63)</f>
        <v/>
      </c>
      <c r="F12" s="7">
        <f>IF(E12=0,"",ROUND(AVERAGE('Bảng điểm'!E4:E63),2))</f>
        <v/>
      </c>
      <c r="G12" s="38">
        <f>IF(E12=0,"",F12/C12)</f>
        <v/>
      </c>
    </row>
    <row r="13">
      <c r="A13" s="7" t="inlineStr">
        <is>
          <t>1.2</t>
        </is>
      </c>
      <c r="B13" s="9" t="inlineStr">
        <is>
          <t>Luồng nghiệp vụ chính chạy end-to-end trên Android</t>
        </is>
      </c>
      <c r="C13" s="7" t="n">
        <v>0.6</v>
      </c>
      <c r="D13" s="7" t="inlineStr">
        <is>
          <t>Nhóm</t>
        </is>
      </c>
      <c r="E13" s="7">
        <f>COUNT('Bảng điểm'!F4:F63)</f>
        <v/>
      </c>
      <c r="F13" s="7">
        <f>IF(E13=0,"",ROUND(AVERAGE('Bảng điểm'!F4:F63),2))</f>
        <v/>
      </c>
      <c r="G13" s="38">
        <f>IF(E13=0,"",F13/C13)</f>
        <v/>
      </c>
    </row>
    <row r="14">
      <c r="A14" s="7" t="inlineStr">
        <is>
          <t>1.3</t>
        </is>
      </c>
      <c r="B14" s="9" t="inlineStr">
        <is>
          <t>Xác thực và phân quyền</t>
        </is>
      </c>
      <c r="C14" s="7" t="n">
        <v>0.4</v>
      </c>
      <c r="D14" s="7" t="inlineStr">
        <is>
          <t>Nhóm</t>
        </is>
      </c>
      <c r="E14" s="7">
        <f>COUNT('Bảng điểm'!G4:G63)</f>
        <v/>
      </c>
      <c r="F14" s="7">
        <f>IF(E14=0,"",ROUND(AVERAGE('Bảng điểm'!G4:G63),2))</f>
        <v/>
      </c>
      <c r="G14" s="38">
        <f>IF(E14=0,"",F14/C14)</f>
        <v/>
      </c>
    </row>
    <row r="15">
      <c r="A15" s="7" t="inlineStr">
        <is>
          <t>1.4</t>
        </is>
      </c>
      <c r="B15" s="9" t="inlineStr">
        <is>
          <t>Tích hợp tính năng thiết bị</t>
        </is>
      </c>
      <c r="C15" s="7" t="n">
        <v>0.3</v>
      </c>
      <c r="D15" s="7" t="inlineStr">
        <is>
          <t>Nhóm</t>
        </is>
      </c>
      <c r="E15" s="7">
        <f>COUNT('Bảng điểm'!H4:H63)</f>
        <v/>
      </c>
      <c r="F15" s="7">
        <f>IF(E15=0,"",ROUND(AVERAGE('Bảng điểm'!H4:H63),2))</f>
        <v/>
      </c>
      <c r="G15" s="38">
        <f>IF(E15=0,"",F15/C15)</f>
        <v/>
      </c>
    </row>
    <row r="16">
      <c r="A16" s="7" t="inlineStr">
        <is>
          <t>1.5</t>
        </is>
      </c>
      <c r="B16" s="9" t="inlineStr">
        <is>
          <t>Thông báo thời gian thực (Socket.IO)</t>
        </is>
      </c>
      <c r="C16" s="7" t="n">
        <v>0.4</v>
      </c>
      <c r="D16" s="7" t="inlineStr">
        <is>
          <t>Nhóm</t>
        </is>
      </c>
      <c r="E16" s="7">
        <f>COUNT('Bảng điểm'!I4:I63)</f>
        <v/>
      </c>
      <c r="F16" s="7">
        <f>IF(E16=0,"",ROUND(AVERAGE('Bảng điểm'!I4:I63),2))</f>
        <v/>
      </c>
      <c r="G16" s="38">
        <f>IF(E16=0,"",F16/C16)</f>
        <v/>
      </c>
    </row>
    <row r="17">
      <c r="A17" s="7" t="inlineStr">
        <is>
          <t>1.6</t>
        </is>
      </c>
      <c r="B17" s="9" t="inlineStr">
        <is>
          <t>Tổ chức thành phần và điều hướng</t>
        </is>
      </c>
      <c r="C17" s="7" t="n">
        <v>0.3</v>
      </c>
      <c r="D17" s="7" t="inlineStr">
        <is>
          <t>Nhóm</t>
        </is>
      </c>
      <c r="E17" s="7">
        <f>COUNT('Bảng điểm'!J4:J63)</f>
        <v/>
      </c>
      <c r="F17" s="7">
        <f>IF(E17=0,"",ROUND(AVERAGE('Bảng điểm'!J4:J63),2))</f>
        <v/>
      </c>
      <c r="G17" s="38">
        <f>IF(E17=0,"",F17/C17)</f>
        <v/>
      </c>
    </row>
    <row r="18">
      <c r="A18" s="7" t="inlineStr">
        <is>
          <t>1.7</t>
        </is>
      </c>
      <c r="B18" s="9" t="inlineStr">
        <is>
          <t>Xử lý lỗi và trạng thái dữ liệu</t>
        </is>
      </c>
      <c r="C18" s="7" t="n">
        <v>0.3</v>
      </c>
      <c r="D18" s="7" t="inlineStr">
        <is>
          <t>Nhóm</t>
        </is>
      </c>
      <c r="E18" s="7">
        <f>COUNT('Bảng điểm'!K4:K63)</f>
        <v/>
      </c>
      <c r="F18" s="7">
        <f>IF(E18=0,"",ROUND(AVERAGE('Bảng điểm'!K4:K63),2))</f>
        <v/>
      </c>
      <c r="G18" s="38">
        <f>IF(E18=0,"",F18/C18)</f>
        <v/>
      </c>
    </row>
    <row r="19">
      <c r="A19" s="7" t="inlineStr">
        <is>
          <t>1.8</t>
        </is>
      </c>
      <c r="B19" s="9" t="inlineStr">
        <is>
          <t>Kiểm thử và chất lượng</t>
        </is>
      </c>
      <c r="C19" s="7" t="n">
        <v>0.3</v>
      </c>
      <c r="D19" s="7" t="inlineStr">
        <is>
          <t>Nhóm</t>
        </is>
      </c>
      <c r="E19" s="7">
        <f>COUNT('Bảng điểm'!L4:L63)</f>
        <v/>
      </c>
      <c r="F19" s="7">
        <f>IF(E19=0,"",ROUND(AVERAGE('Bảng điểm'!L4:L63),2))</f>
        <v/>
      </c>
      <c r="G19" s="38">
        <f>IF(E19=0,"",F19/C19)</f>
        <v/>
      </c>
    </row>
    <row r="20">
      <c r="A20" s="7" t="inlineStr">
        <is>
          <t>2.1</t>
        </is>
      </c>
      <c r="B20" s="9" t="inlineStr">
        <is>
          <t>Mô hình bảng và chuẩn hóa</t>
        </is>
      </c>
      <c r="C20" s="7" t="n">
        <v>0.4</v>
      </c>
      <c r="D20" s="7" t="inlineStr">
        <is>
          <t>Nhóm</t>
        </is>
      </c>
      <c r="E20" s="7">
        <f>COUNT('Bảng điểm'!M4:M63)</f>
        <v/>
      </c>
      <c r="F20" s="7">
        <f>IF(E20=0,"",ROUND(AVERAGE('Bảng điểm'!M4:M63),2))</f>
        <v/>
      </c>
      <c r="G20" s="38">
        <f>IF(E20=0,"",F20/C20)</f>
        <v/>
      </c>
    </row>
    <row r="21">
      <c r="A21" s="7" t="inlineStr">
        <is>
          <t>2.2</t>
        </is>
      </c>
      <c r="B21" s="9" t="inlineStr">
        <is>
          <t>Khóa và quan hệ</t>
        </is>
      </c>
      <c r="C21" s="7" t="n">
        <v>0.3</v>
      </c>
      <c r="D21" s="7" t="inlineStr">
        <is>
          <t>Nhóm</t>
        </is>
      </c>
      <c r="E21" s="7">
        <f>COUNT('Bảng điểm'!N4:N63)</f>
        <v/>
      </c>
      <c r="F21" s="7">
        <f>IF(E21=0,"",ROUND(AVERAGE('Bảng điểm'!N4:N63),2))</f>
        <v/>
      </c>
      <c r="G21" s="38">
        <f>IF(E21=0,"",F21/C21)</f>
        <v/>
      </c>
    </row>
    <row r="22">
      <c r="A22" s="7" t="inlineStr">
        <is>
          <t>2.3</t>
        </is>
      </c>
      <c r="B22" s="9" t="inlineStr">
        <is>
          <t>Ràng buộc toàn vẹn</t>
        </is>
      </c>
      <c r="C22" s="7" t="n">
        <v>0.3</v>
      </c>
      <c r="D22" s="7" t="inlineStr">
        <is>
          <t>Nhóm</t>
        </is>
      </c>
      <c r="E22" s="7">
        <f>COUNT('Bảng điểm'!O4:O63)</f>
        <v/>
      </c>
      <c r="F22" s="7">
        <f>IF(E22=0,"",ROUND(AVERAGE('Bảng điểm'!O4:O63),2))</f>
        <v/>
      </c>
      <c r="G22" s="38">
        <f>IF(E22=0,"",F22/C22)</f>
        <v/>
      </c>
    </row>
    <row r="23">
      <c r="A23" s="7" t="inlineStr">
        <is>
          <t>2.4</t>
        </is>
      </c>
      <c r="B23" s="9" t="inlineStr">
        <is>
          <t>Bộ stored procedure và truy cập qua thủ tục</t>
        </is>
      </c>
      <c r="C23" s="7" t="n">
        <v>0.4</v>
      </c>
      <c r="D23" s="7" t="inlineStr">
        <is>
          <t>Nhóm</t>
        </is>
      </c>
      <c r="E23" s="7">
        <f>COUNT('Bảng điểm'!P4:P63)</f>
        <v/>
      </c>
      <c r="F23" s="7">
        <f>IF(E23=0,"",ROUND(AVERAGE('Bảng điểm'!P4:P63),2))</f>
        <v/>
      </c>
      <c r="G23" s="38">
        <f>IF(E23=0,"",F23/C23)</f>
        <v/>
      </c>
    </row>
    <row r="24">
      <c r="A24" s="7" t="inlineStr">
        <is>
          <t>2.5</t>
        </is>
      </c>
      <c r="B24" s="9" t="inlineStr">
        <is>
          <t>Giao dịch và xử lý lỗi trong thủ tục</t>
        </is>
      </c>
      <c r="C24" s="7" t="n">
        <v>0.3</v>
      </c>
      <c r="D24" s="7" t="inlineStr">
        <is>
          <t>Nhóm</t>
        </is>
      </c>
      <c r="E24" s="7">
        <f>COUNT('Bảng điểm'!Q4:Q63)</f>
        <v/>
      </c>
      <c r="F24" s="7">
        <f>IF(E24=0,"",ROUND(AVERAGE('Bảng điểm'!Q4:Q63),2))</f>
        <v/>
      </c>
      <c r="G24" s="38">
        <f>IF(E24=0,"",F24/C24)</f>
        <v/>
      </c>
    </row>
    <row r="25">
      <c r="A25" s="7" t="inlineStr">
        <is>
          <t>2.6</t>
        </is>
      </c>
      <c r="B25" s="9" t="inlineStr">
        <is>
          <t>Script tái tạo và triển khai trên server Khoa</t>
        </is>
      </c>
      <c r="C25" s="7" t="n">
        <v>0.3</v>
      </c>
      <c r="D25" s="7" t="inlineStr">
        <is>
          <t>Nhóm</t>
        </is>
      </c>
      <c r="E25" s="7">
        <f>COUNT('Bảng điểm'!R4:R63)</f>
        <v/>
      </c>
      <c r="F25" s="7">
        <f>IF(E25=0,"",ROUND(AVERAGE('Bảng điểm'!R4:R63),2))</f>
        <v/>
      </c>
      <c r="G25" s="38">
        <f>IF(E25=0,"",F25/C25)</f>
        <v/>
      </c>
    </row>
    <row r="26">
      <c r="A26" s="7" t="inlineStr">
        <is>
          <t>3.1</t>
        </is>
      </c>
      <c r="B26" s="9" t="inlineStr">
        <is>
          <t>ERD: ký hiệu và nội dung</t>
        </is>
      </c>
      <c r="C26" s="7" t="n">
        <v>0.5</v>
      </c>
      <c r="D26" s="7" t="inlineStr">
        <is>
          <t>Nhóm</t>
        </is>
      </c>
      <c r="E26" s="7">
        <f>COUNT('Bảng điểm'!S4:S63)</f>
        <v/>
      </c>
      <c r="F26" s="7">
        <f>IF(E26=0,"",ROUND(AVERAGE('Bảng điểm'!S4:S63),2))</f>
        <v/>
      </c>
      <c r="G26" s="38">
        <f>IF(E26=0,"",F26/C26)</f>
        <v/>
      </c>
    </row>
    <row r="27">
      <c r="A27" s="7" t="inlineStr">
        <is>
          <t>3.2</t>
        </is>
      </c>
      <c r="B27" s="9" t="inlineStr">
        <is>
          <t>ERD khớp CSDL thật</t>
        </is>
      </c>
      <c r="C27" s="7" t="n">
        <v>0.4</v>
      </c>
      <c r="D27" s="7" t="inlineStr">
        <is>
          <t>Nhóm</t>
        </is>
      </c>
      <c r="E27" s="7">
        <f>COUNT('Bảng điểm'!T4:T63)</f>
        <v/>
      </c>
      <c r="F27" s="7">
        <f>IF(E27=0,"",ROUND(AVERAGE('Bảng điểm'!T4:T63),2))</f>
        <v/>
      </c>
      <c r="G27" s="38">
        <f>IF(E27=0,"",F27/C27)</f>
        <v/>
      </c>
    </row>
    <row r="28">
      <c r="A28" s="7" t="inlineStr">
        <is>
          <t>3.3</t>
        </is>
      </c>
      <c r="B28" s="9" t="inlineStr">
        <is>
          <t>Sơ đồ tuần tự luồng realtime</t>
        </is>
      </c>
      <c r="C28" s="7" t="n">
        <v>0.4</v>
      </c>
      <c r="D28" s="7" t="inlineStr">
        <is>
          <t>Nhóm</t>
        </is>
      </c>
      <c r="E28" s="7">
        <f>COUNT('Bảng điểm'!U4:U63)</f>
        <v/>
      </c>
      <c r="F28" s="7">
        <f>IF(E28=0,"",ROUND(AVERAGE('Bảng điểm'!U4:U63),2))</f>
        <v/>
      </c>
      <c r="G28" s="38">
        <f>IF(E28=0,"",F28/C28)</f>
        <v/>
      </c>
    </row>
    <row r="29">
      <c r="A29" s="7" t="inlineStr">
        <is>
          <t>3.4</t>
        </is>
      </c>
      <c r="B29" s="9" t="inlineStr">
        <is>
          <t>Sơ đồ luồng màn hình</t>
        </is>
      </c>
      <c r="C29" s="7" t="n">
        <v>0.3</v>
      </c>
      <c r="D29" s="7" t="inlineStr">
        <is>
          <t>Nhóm</t>
        </is>
      </c>
      <c r="E29" s="7">
        <f>COUNT('Bảng điểm'!V4:V63)</f>
        <v/>
      </c>
      <c r="F29" s="7">
        <f>IF(E29=0,"",ROUND(AVERAGE('Bảng điểm'!V4:V63),2))</f>
        <v/>
      </c>
      <c r="G29" s="38">
        <f>IF(E29=0,"",F29/C29)</f>
        <v/>
      </c>
    </row>
    <row r="30">
      <c r="A30" s="7" t="inlineStr">
        <is>
          <t>3.5</t>
        </is>
      </c>
      <c r="B30" s="9" t="inlineStr">
        <is>
          <t>Chất lượng trình bày đồ họa</t>
        </is>
      </c>
      <c r="C30" s="7" t="n">
        <v>0.2</v>
      </c>
      <c r="D30" s="7" t="inlineStr">
        <is>
          <t>Nhóm</t>
        </is>
      </c>
      <c r="E30" s="7">
        <f>COUNT('Bảng điểm'!W4:W63)</f>
        <v/>
      </c>
      <c r="F30" s="7">
        <f>IF(E30=0,"",ROUND(AVERAGE('Bảng điểm'!W4:W63),2))</f>
        <v/>
      </c>
      <c r="G30" s="38">
        <f>IF(E30=0,"",F30/C30)</f>
        <v/>
      </c>
    </row>
    <row r="31">
      <c r="A31" s="7" t="inlineStr">
        <is>
          <t>3.6</t>
        </is>
      </c>
      <c r="B31" s="9" t="inlineStr">
        <is>
          <t>Giải thích thiết kế bằng sơ đồ khi bảo vệ</t>
        </is>
      </c>
      <c r="C31" s="7" t="n">
        <v>0.2</v>
      </c>
      <c r="D31" s="7" t="inlineStr">
        <is>
          <t>Cá nhân</t>
        </is>
      </c>
      <c r="E31" s="7">
        <f>COUNT('Bảng điểm'!X4:X63)</f>
        <v/>
      </c>
      <c r="F31" s="7">
        <f>IF(E31=0,"",ROUND(AVERAGE('Bảng điểm'!X4:X63),2))</f>
        <v/>
      </c>
      <c r="G31" s="38">
        <f>IF(E31=0,"",F31/C31)</f>
        <v/>
      </c>
    </row>
    <row r="32">
      <c r="A32" s="7" t="inlineStr">
        <is>
          <t>4.1</t>
        </is>
      </c>
      <c r="B32" s="9" t="inlineStr">
        <is>
          <t>Đóng góp mã nguồn</t>
        </is>
      </c>
      <c r="C32" s="7" t="n">
        <v>0.6</v>
      </c>
      <c r="D32" s="7" t="inlineStr">
        <is>
          <t>Cá nhân</t>
        </is>
      </c>
      <c r="E32" s="7">
        <f>COUNT('Bảng điểm'!Y4:Y63)</f>
        <v/>
      </c>
      <c r="F32" s="7">
        <f>IF(E32=0,"",ROUND(AVERAGE('Bảng điểm'!Y4:Y63),2))</f>
        <v/>
      </c>
      <c r="G32" s="38">
        <f>IF(E32=0,"",F32/C32)</f>
        <v/>
      </c>
    </row>
    <row r="33">
      <c r="A33" s="7" t="inlineStr">
        <is>
          <t>4.2</t>
        </is>
      </c>
      <c r="B33" s="9" t="inlineStr">
        <is>
          <t>Hoàn thành nhiệm vụ đúng hạn</t>
        </is>
      </c>
      <c r="C33" s="7" t="n">
        <v>0.4</v>
      </c>
      <c r="D33" s="7" t="inlineStr">
        <is>
          <t>Cá nhân</t>
        </is>
      </c>
      <c r="E33" s="7">
        <f>COUNT('Bảng điểm'!Z4:Z63)</f>
        <v/>
      </c>
      <c r="F33" s="7">
        <f>IF(E33=0,"",ROUND(AVERAGE('Bảng điểm'!Z4:Z63),2))</f>
        <v/>
      </c>
      <c r="G33" s="38">
        <f>IF(E33=0,"",F33/C33)</f>
        <v/>
      </c>
    </row>
    <row r="34">
      <c r="A34" s="7" t="inlineStr">
        <is>
          <t>4.3</t>
        </is>
      </c>
      <c r="B34" s="9" t="inlineStr">
        <is>
          <t>Báo cáo vai trò cá nhân</t>
        </is>
      </c>
      <c r="C34" s="7" t="n">
        <v>0.4</v>
      </c>
      <c r="D34" s="7" t="inlineStr">
        <is>
          <t>Cá nhân</t>
        </is>
      </c>
      <c r="E34" s="7">
        <f>COUNT('Bảng điểm'!AA4:AA63)</f>
        <v/>
      </c>
      <c r="F34" s="7">
        <f>IF(E34=0,"",ROUND(AVERAGE('Bảng điểm'!AA4:AA63),2))</f>
        <v/>
      </c>
      <c r="G34" s="38">
        <f>IF(E34=0,"",F34/C34)</f>
        <v/>
      </c>
    </row>
    <row r="35">
      <c r="A35" s="7" t="inlineStr">
        <is>
          <t>4.4</t>
        </is>
      </c>
      <c r="B35" s="9" t="inlineStr">
        <is>
          <t>Trình bày phần phụ trách ở Demo Day</t>
        </is>
      </c>
      <c r="C35" s="7" t="n">
        <v>0.4</v>
      </c>
      <c r="D35" s="7" t="inlineStr">
        <is>
          <t>Cá nhân</t>
        </is>
      </c>
      <c r="E35" s="7">
        <f>COUNT('Bảng điểm'!AB4:AB63)</f>
        <v/>
      </c>
      <c r="F35" s="7">
        <f>IF(E35=0,"",ROUND(AVERAGE('Bảng điểm'!AB4:AB63),2))</f>
        <v/>
      </c>
      <c r="G35" s="38">
        <f>IF(E35=0,"",F35/C35)</f>
        <v/>
      </c>
    </row>
    <row r="36">
      <c r="A36" s="7" t="inlineStr">
        <is>
          <t>4.5</t>
        </is>
      </c>
      <c r="B36" s="9" t="inlineStr">
        <is>
          <t>Trả lời câu hỏi kỹ thuật (bảo vệ mã)</t>
        </is>
      </c>
      <c r="C36" s="7" t="n">
        <v>0.6</v>
      </c>
      <c r="D36" s="7" t="inlineStr">
        <is>
          <t>Cá nhân</t>
        </is>
      </c>
      <c r="E36" s="7">
        <f>COUNT('Bảng điểm'!AC4:AC63)</f>
        <v/>
      </c>
      <c r="F36" s="7">
        <f>IF(E36=0,"",ROUND(AVERAGE('Bảng điểm'!AC4:AC63),2))</f>
        <v/>
      </c>
      <c r="G36" s="38">
        <f>IF(E36=0,"",F36/C36)</f>
        <v/>
      </c>
    </row>
    <row r="37">
      <c r="A37" s="7" t="inlineStr">
        <is>
          <t>4.6</t>
        </is>
      </c>
      <c r="B37" s="9" t="inlineStr">
        <is>
          <t>Sử dụng AI minh bạch</t>
        </is>
      </c>
      <c r="C37" s="7" t="n">
        <v>0.3</v>
      </c>
      <c r="D37" s="7" t="inlineStr">
        <is>
          <t>Cá nhân</t>
        </is>
      </c>
      <c r="E37" s="7">
        <f>COUNT('Bảng điểm'!AD4:AD63)</f>
        <v/>
      </c>
      <c r="F37" s="7">
        <f>IF(E37=0,"",ROUND(AVERAGE('Bảng điểm'!AD4:AD63),2))</f>
        <v/>
      </c>
      <c r="G37" s="38">
        <f>IF(E37=0,"",F37/C37)</f>
        <v/>
      </c>
    </row>
    <row r="38">
      <c r="A38" s="7" t="inlineStr">
        <is>
          <t>4.7</t>
        </is>
      </c>
      <c r="B38" s="9" t="inlineStr">
        <is>
          <t>Phối hợp nhóm và review chéo</t>
        </is>
      </c>
      <c r="C38" s="7" t="n">
        <v>0.3</v>
      </c>
      <c r="D38" s="7" t="inlineStr">
        <is>
          <t>Cá nhân</t>
        </is>
      </c>
      <c r="E38" s="7">
        <f>COUNT('Bảng điểm'!AE4:AE63)</f>
        <v/>
      </c>
      <c r="F38" s="7">
        <f>IF(E38=0,"",ROUND(AVERAGE('Bảng điểm'!AE4:AE63),2))</f>
        <v/>
      </c>
      <c r="G38" s="38">
        <f>IF(E38=0,"",F38/C38)</f>
        <v/>
      </c>
    </row>
  </sheetData>
  <conditionalFormatting sqref="I5:I8">
    <cfRule type="cellIs" priority="1" operator="equal" dxfId="0">
      <formula>"Chưa đạt"</formula>
    </cfRule>
    <cfRule type="cellIs" priority="2" operator="equal" dxfId="2">
      <formula>"Đạt"</formula>
    </cfRule>
  </conditionalFormatting>
  <conditionalFormatting sqref="G12:G38">
    <cfRule type="expression" priority="3" dxfId="3">
      <formula>AND(ISNUMBER(G12),G12&lt;0.5)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2026-10-30T07:52:15Z</dcterms:created>
  <dcterms:modified xmlns:dcterms="http://purl.org/dc/terms/" xmlns:xsi="http://www.w3.org/2001/XMLSchema-instance" xsi:type="dcterms:W3CDTF">2026-10-30T07:52:15Z</dcterms:modified>
</cp:coreProperties>
</file>